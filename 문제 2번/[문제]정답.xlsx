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pho\OneDrive\바탕 화면\바이브코딩\인턴 과제문제\문제 2번\"/>
    </mc:Choice>
  </mc:AlternateContent>
  <bookViews>
    <workbookView xWindow="0" yWindow="0" windowWidth="9608" windowHeight="4358"/>
  </bookViews>
  <sheets>
    <sheet name="1번 항목" sheetId="1" r:id="rId1"/>
    <sheet name="2번 항목" sheetId="7" r:id="rId2"/>
    <sheet name="Sheet1" sheetId="6" r:id="rId3"/>
    <sheet name="광고집행원가" sheetId="4" r:id="rId4"/>
    <sheet name="상품목록" sheetId="5" r:id="rId5"/>
  </sheets>
  <calcPr calcId="162913"/>
</workbook>
</file>

<file path=xl/calcChain.xml><?xml version="1.0" encoding="utf-8"?>
<calcChain xmlns="http://schemas.openxmlformats.org/spreadsheetml/2006/main">
  <c r="F11" i="1" l="1"/>
  <c r="D21" i="1" l="1"/>
  <c r="E20" i="1"/>
  <c r="F20" i="1" s="1"/>
  <c r="F19" i="1"/>
  <c r="E19" i="1"/>
  <c r="F18" i="1"/>
  <c r="E18" i="1"/>
  <c r="E17" i="1"/>
  <c r="F17" i="1" s="1"/>
  <c r="E16" i="1"/>
  <c r="E21" i="1" s="1"/>
  <c r="F12" i="1"/>
  <c r="F4" i="1" s="1"/>
  <c r="F6" i="1" s="1"/>
  <c r="F7" i="1" s="1"/>
  <c r="B5" i="1"/>
  <c r="B4" i="1"/>
  <c r="A99" i="4"/>
  <c r="C114" i="4"/>
  <c r="A130" i="4"/>
  <c r="B8" i="5"/>
  <c r="A8" i="4"/>
  <c r="C15" i="4"/>
  <c r="C46" i="4"/>
  <c r="A62" i="4"/>
  <c r="C69" i="4"/>
  <c r="C126" i="4"/>
  <c r="A52" i="4"/>
  <c r="C36" i="4"/>
  <c r="A76" i="4"/>
  <c r="C35" i="4"/>
  <c r="A59" i="4"/>
  <c r="C74" i="4"/>
  <c r="A82" i="4"/>
  <c r="A74" i="4"/>
  <c r="A114" i="4"/>
  <c r="C121" i="4"/>
  <c r="A79" i="4"/>
  <c r="C30" i="4"/>
  <c r="C53" i="4"/>
  <c r="C110" i="4"/>
  <c r="C104" i="4"/>
  <c r="C19" i="4"/>
  <c r="C58" i="4"/>
  <c r="C3" i="4"/>
  <c r="A50" i="4"/>
  <c r="C6" i="4"/>
  <c r="A68" i="4"/>
  <c r="C34" i="4"/>
  <c r="A88" i="4"/>
  <c r="A14" i="4"/>
  <c r="A47" i="4"/>
  <c r="A57" i="4"/>
  <c r="C87" i="4"/>
  <c r="C13" i="4"/>
  <c r="A109" i="4"/>
  <c r="C33" i="4"/>
  <c r="A112" i="4"/>
  <c r="A102" i="4"/>
  <c r="C124" i="4"/>
  <c r="A18" i="4"/>
  <c r="C56" i="4"/>
  <c r="A104" i="4"/>
  <c r="C101" i="4"/>
  <c r="C91" i="4"/>
  <c r="A132" i="4"/>
  <c r="A56" i="4"/>
  <c r="C111" i="4"/>
  <c r="A45" i="4"/>
  <c r="C108" i="4"/>
  <c r="A2" i="4"/>
  <c r="A115" i="4"/>
  <c r="A13" i="4"/>
  <c r="C99" i="4"/>
  <c r="C8" i="4"/>
  <c r="C54" i="4"/>
  <c r="A5" i="4"/>
  <c r="C82" i="4"/>
  <c r="C89" i="4"/>
  <c r="C106" i="4"/>
  <c r="A122" i="4"/>
  <c r="C129" i="4"/>
  <c r="B7" i="5"/>
  <c r="C7" i="4"/>
  <c r="C38" i="4"/>
  <c r="A54" i="4"/>
  <c r="C61" i="4"/>
  <c r="C118" i="4"/>
  <c r="A12" i="4"/>
  <c r="C28" i="4"/>
  <c r="A44" i="4"/>
  <c r="C27" i="4"/>
  <c r="A51" i="4"/>
  <c r="C66" i="4"/>
  <c r="C81" i="4"/>
  <c r="A129" i="4"/>
  <c r="A46" i="4"/>
  <c r="C20" i="4"/>
  <c r="A20" i="4"/>
  <c r="A43" i="4"/>
  <c r="A66" i="4"/>
  <c r="A133" i="4"/>
  <c r="C42" i="4"/>
  <c r="A73" i="4"/>
  <c r="A105" i="4"/>
  <c r="C29" i="4"/>
  <c r="A125" i="4"/>
  <c r="A42" i="4"/>
  <c r="C80" i="4"/>
  <c r="A55" i="4"/>
  <c r="C21" i="4"/>
  <c r="A118" i="4"/>
  <c r="A117" i="4"/>
  <c r="C26" i="4"/>
  <c r="A6" i="4"/>
  <c r="C132" i="4"/>
  <c r="A49" i="4"/>
  <c r="C79" i="4"/>
  <c r="C5" i="4"/>
  <c r="A101" i="4"/>
  <c r="C25" i="4"/>
  <c r="C71" i="4"/>
  <c r="A53" i="4"/>
  <c r="C116" i="4"/>
  <c r="C48" i="4"/>
  <c r="C63" i="4"/>
  <c r="A60" i="4"/>
  <c r="C133" i="4"/>
  <c r="A124" i="4"/>
  <c r="A25" i="4"/>
  <c r="A48" i="4"/>
  <c r="C103" i="4"/>
  <c r="A37" i="4"/>
  <c r="C75" i="4"/>
  <c r="C123" i="4"/>
  <c r="A15" i="4"/>
  <c r="C47" i="4"/>
  <c r="A103" i="4"/>
  <c r="C68" i="4"/>
  <c r="A91" i="4"/>
  <c r="A123" i="4"/>
  <c r="C39" i="4"/>
  <c r="A95" i="4"/>
  <c r="C59" i="4"/>
  <c r="A71" i="4"/>
  <c r="C31" i="4"/>
  <c r="A31" i="4"/>
  <c r="C51" i="4"/>
  <c r="C90" i="4"/>
  <c r="C122" i="4"/>
  <c r="A16" i="4"/>
  <c r="C23" i="4"/>
  <c r="A70" i="4"/>
  <c r="B1" i="5"/>
  <c r="A67" i="4"/>
  <c r="C98" i="4"/>
  <c r="C32" i="4"/>
  <c r="A78" i="4"/>
  <c r="C44" i="4"/>
  <c r="C73" i="4"/>
  <c r="A89" i="4"/>
  <c r="A106" i="4"/>
  <c r="C113" i="4"/>
  <c r="A121" i="4"/>
  <c r="A7" i="4"/>
  <c r="C22" i="4"/>
  <c r="A38" i="4"/>
  <c r="C45" i="4"/>
  <c r="C102" i="4"/>
  <c r="A39" i="4"/>
  <c r="C12" i="4"/>
  <c r="A87" i="4"/>
  <c r="C11" i="4"/>
  <c r="A35" i="4"/>
  <c r="C50" i="4"/>
  <c r="A58" i="4"/>
  <c r="A81" i="4"/>
  <c r="A98" i="4"/>
  <c r="C105" i="4"/>
  <c r="A113" i="4"/>
  <c r="B5" i="5"/>
  <c r="C14" i="4"/>
  <c r="A30" i="4"/>
  <c r="C37" i="4"/>
  <c r="A93" i="4"/>
  <c r="C4" i="4"/>
  <c r="A27" i="4"/>
  <c r="C57" i="4"/>
  <c r="B4" i="5"/>
  <c r="A126" i="4"/>
  <c r="A19" i="4"/>
  <c r="A65" i="4"/>
  <c r="A128" i="4"/>
  <c r="A4" i="4"/>
  <c r="A34" i="4"/>
  <c r="C41" i="4"/>
  <c r="B3" i="5"/>
  <c r="A110" i="4"/>
  <c r="C18" i="4"/>
  <c r="C64" i="4"/>
  <c r="A72" i="4"/>
  <c r="C127" i="4"/>
  <c r="A61" i="4"/>
  <c r="A63" i="4"/>
  <c r="C10" i="4"/>
  <c r="C119" i="4"/>
  <c r="C92" i="4"/>
  <c r="A10" i="4"/>
  <c r="A33" i="4"/>
  <c r="C94" i="4"/>
  <c r="C84" i="4"/>
  <c r="C131" i="4"/>
  <c r="C9" i="4"/>
  <c r="C40" i="4"/>
  <c r="C86" i="4"/>
  <c r="A111" i="4"/>
  <c r="C76" i="4"/>
  <c r="C100" i="4"/>
  <c r="A131" i="4"/>
  <c r="C78" i="4"/>
  <c r="A29" i="4"/>
  <c r="C67" i="4"/>
  <c r="C115" i="4"/>
  <c r="A9" i="4"/>
  <c r="C24" i="4"/>
  <c r="A32" i="4"/>
  <c r="A86" i="4"/>
  <c r="C93" i="4"/>
  <c r="A21" i="4"/>
  <c r="C109" i="4"/>
  <c r="A83" i="4"/>
  <c r="C107" i="4"/>
  <c r="C130" i="4"/>
  <c r="C52" i="4"/>
  <c r="B9" i="5"/>
  <c r="C77" i="4"/>
  <c r="C43" i="4"/>
  <c r="A90" i="4"/>
  <c r="C65" i="4"/>
  <c r="A1" i="5"/>
  <c r="C88" i="4"/>
  <c r="A97" i="4"/>
  <c r="A22" i="4"/>
  <c r="A85" i="4"/>
  <c r="C128" i="4"/>
  <c r="C49" i="4"/>
  <c r="A96" i="4"/>
  <c r="A77" i="4"/>
  <c r="A11" i="4"/>
  <c r="C72" i="4"/>
  <c r="A80" i="4"/>
  <c r="A120" i="4"/>
  <c r="A69" i="4"/>
  <c r="C112" i="4"/>
  <c r="A3" i="4"/>
  <c r="A26" i="4"/>
  <c r="B2" i="5"/>
  <c r="C120" i="4"/>
  <c r="A41" i="4"/>
  <c r="A64" i="4"/>
  <c r="A127" i="4"/>
  <c r="A23" i="4"/>
  <c r="C2" i="4"/>
  <c r="C17" i="4"/>
  <c r="A119" i="4"/>
  <c r="C83" i="4"/>
  <c r="B11" i="5"/>
  <c r="C55" i="4"/>
  <c r="A36" i="4"/>
  <c r="C125" i="4"/>
  <c r="A116" i="4"/>
  <c r="A17" i="4"/>
  <c r="A40" i="4"/>
  <c r="A94" i="4"/>
  <c r="A28" i="4"/>
  <c r="C117" i="4"/>
  <c r="A108" i="4"/>
  <c r="B10" i="5"/>
  <c r="C70" i="4"/>
  <c r="C60" i="4"/>
  <c r="A100" i="4"/>
  <c r="C16" i="4"/>
  <c r="A24" i="4"/>
  <c r="C62" i="4"/>
  <c r="C85" i="4"/>
  <c r="A92" i="4"/>
  <c r="A75" i="4"/>
  <c r="A107" i="4"/>
  <c r="A84" i="4"/>
  <c r="F16" i="1" l="1"/>
  <c r="F21" i="1" s="1"/>
  <c r="F5" i="1" s="1"/>
</calcChain>
</file>

<file path=xl/sharedStrings.xml><?xml version="1.0" encoding="utf-8"?>
<sst xmlns="http://schemas.openxmlformats.org/spreadsheetml/2006/main" count="47" uniqueCount="39">
  <si>
    <t>항목</t>
    <phoneticPr fontId="0" type="Hiragana"/>
  </si>
  <si>
    <t>공급가</t>
  </si>
  <si>
    <t>Total</t>
  </si>
  <si>
    <t>Total (VAT 포함)</t>
  </si>
  <si>
    <t>구분</t>
    <phoneticPr fontId="0" type="Hiragana"/>
  </si>
  <si>
    <t>산정 기준</t>
    <phoneticPr fontId="0" type="Hiragana"/>
  </si>
  <si>
    <t>Sub Total (VAT 제외)</t>
    <phoneticPr fontId="0" type="Hiragana"/>
  </si>
  <si>
    <t>수수료율</t>
  </si>
  <si>
    <t>(1) 실집행 광고비</t>
  </si>
  <si>
    <t>(2) 수수료</t>
  </si>
  <si>
    <t>공급가 : (1)+(2)</t>
  </si>
  <si>
    <t>Sub Total (VAT 제외)</t>
  </si>
  <si>
    <t>지출금액</t>
  </si>
  <si>
    <t>매체명</t>
  </si>
  <si>
    <t>날짜</t>
  </si>
  <si>
    <t>매체 구분</t>
    <phoneticPr fontId="0" type="Hiragana"/>
  </si>
  <si>
    <t>가. 광고소재 제작</t>
    <phoneticPr fontId="0" type="Hiragana"/>
  </si>
  <si>
    <t>광고소재 제작</t>
    <phoneticPr fontId="0" type="Hiragana"/>
  </si>
  <si>
    <t>N사</t>
    <phoneticPr fontId="0" type="Hiragana"/>
  </si>
  <si>
    <t>R사</t>
    <phoneticPr fontId="0" type="Hiragana"/>
  </si>
  <si>
    <t>B사</t>
    <phoneticPr fontId="0" type="Hiragana"/>
  </si>
  <si>
    <t>M사</t>
    <phoneticPr fontId="0" type="Hiragana"/>
  </si>
  <si>
    <t>K사</t>
    <phoneticPr fontId="0" type="Hiragana"/>
  </si>
  <si>
    <t>Y</t>
    <phoneticPr fontId="0" type="Hiragana"/>
  </si>
  <si>
    <t>G사</t>
    <phoneticPr fontId="0" type="Hiragana"/>
  </si>
  <si>
    <t>C사</t>
    <phoneticPr fontId="0" type="Hiragana"/>
  </si>
  <si>
    <t>X사</t>
    <phoneticPr fontId="0" type="Hiragana"/>
  </si>
  <si>
    <t>L사</t>
    <phoneticPr fontId="0" type="Hiragana"/>
  </si>
  <si>
    <t>T사</t>
    <phoneticPr fontId="0" type="Hiragana"/>
  </si>
  <si>
    <t>-</t>
    <phoneticPr fontId="0" type="Hiragana"/>
  </si>
  <si>
    <t>G사</t>
  </si>
  <si>
    <t>M사</t>
  </si>
  <si>
    <t>K사</t>
  </si>
  <si>
    <t>X사</t>
  </si>
  <si>
    <t>N사</t>
  </si>
  <si>
    <t>나. 온라인 광고 집행</t>
    <phoneticPr fontId="0" type="Hiragana"/>
  </si>
  <si>
    <t>BCD 03월 정산서</t>
    <phoneticPr fontId="0" type="Hiragana"/>
  </si>
  <si>
    <t>BCD 03월 세금계산서</t>
    <phoneticPr fontId="0" type="Hiragana"/>
  </si>
  <si>
    <t>세금계산서 발행금액(VAT 포함)</t>
    <phoneticPr fontId="0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</si>
</sst>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0">
    <font>
      <sz val="10"/>
      <color rgb="FF000000"/>
      <name val="맑은 고딕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나눔고딕"/>
      <family val="3"/>
      <charset val="129"/>
    </font>
    <font>
      <b/>
      <sz val="18"/>
      <color rgb="FF000000"/>
      <name val="나눔고딕"/>
      <family val="3"/>
      <charset val="129"/>
    </font>
    <font>
      <b/>
      <sz val="10"/>
      <color rgb="FFFFFFFF"/>
      <name val="나눔고딕"/>
      <family val="3"/>
      <charset val="129"/>
    </font>
    <font>
      <sz val="10"/>
      <name val="Arial"/>
      <family val="2"/>
    </font>
    <font>
      <b/>
      <sz val="10"/>
      <color rgb="FF000000"/>
      <name val="나눔고딕"/>
      <family val="3"/>
      <charset val="129"/>
    </font>
    <font>
      <sz val="10"/>
      <color rgb="FF000000"/>
      <name val="나눔고딕"/>
      <family val="3"/>
      <charset val="129"/>
    </font>
    <font>
      <b/>
      <sz val="11"/>
      <color rgb="FF000000"/>
      <name val="나눔고딕"/>
      <family val="3"/>
      <charset val="129"/>
    </font>
    <font>
      <sz val="9"/>
      <color rgb="FF000000"/>
      <name val="나눔고딕"/>
      <family val="3"/>
      <charset val="129"/>
    </font>
    <font>
      <b/>
      <sz val="9"/>
      <color rgb="FF00000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color theme="0"/>
      <name val="나눔고딕"/>
      <family val="3"/>
      <charset val="129"/>
    </font>
    <font>
      <sz val="11"/>
      <color indexed="8"/>
      <name val="맑은 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11"/>
      <color indexed="8"/>
      <name val="맑은 고딕"/>
      <family val="2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name val="MS Sans Serif"/>
      <family val="2"/>
    </font>
    <font>
      <sz val="10"/>
      <color rgb="FF000000"/>
      <name val="맑은 고딕"/>
      <family val="2"/>
      <scheme val="minor"/>
    </font>
    <font>
      <b/>
      <sz val="10"/>
      <color rgb="FFFFFFFF"/>
      <name val="Nanum Gothic"/>
    </font>
    <font>
      <sz val="10"/>
      <color theme="1"/>
      <name val="맑은 고딕"/>
      <family val="2"/>
      <scheme val="minor"/>
    </font>
    <font>
      <sz val="10"/>
      <color theme="1"/>
      <name val="Nanum Gothic"/>
    </font>
    <font>
      <sz val="10"/>
      <color rgb="FF000000"/>
      <name val="Nanum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CCCCCC"/>
      </patternFill>
    </fill>
    <fill>
      <patternFill patternType="solid">
        <fgColor rgb="FFFFFF00"/>
        <bgColor rgb="FFFFF2CC"/>
      </patternFill>
    </fill>
    <fill>
      <patternFill patternType="solid">
        <fgColor theme="1"/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1" fontId="15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3" fontId="24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</cellStyleXfs>
  <cellXfs count="70">
    <xf numFmtId="0" fontId="0" fillId="0" borderId="0" xfId="0" applyFont="1" applyAlignment="1"/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8" fillId="4" borderId="17" xfId="0" applyFont="1" applyFill="1" applyBorder="1" applyAlignment="1">
      <alignment vertical="center"/>
    </xf>
    <xf numFmtId="0" fontId="18" fillId="4" borderId="18" xfId="0" applyFont="1" applyFill="1" applyBorder="1" applyAlignment="1">
      <alignment vertical="center"/>
    </xf>
    <xf numFmtId="0" fontId="14" fillId="3" borderId="15" xfId="0" applyFont="1" applyFill="1" applyBorder="1" applyAlignment="1">
      <alignment vertical="center"/>
    </xf>
    <xf numFmtId="0" fontId="14" fillId="3" borderId="7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7" fillId="2" borderId="21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3" fontId="13" fillId="3" borderId="21" xfId="0" applyNumberFormat="1" applyFont="1" applyFill="1" applyBorder="1" applyAlignment="1">
      <alignment horizontal="right" vertical="center"/>
    </xf>
    <xf numFmtId="0" fontId="18" fillId="6" borderId="21" xfId="0" applyFont="1" applyFill="1" applyBorder="1" applyAlignment="1">
      <alignment horizontal="center" vertical="center"/>
    </xf>
    <xf numFmtId="41" fontId="10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4" fontId="0" fillId="0" borderId="0" xfId="0" applyNumberFormat="1" applyFont="1" applyAlignment="1"/>
    <xf numFmtId="3" fontId="13" fillId="3" borderId="2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23" fillId="7" borderId="0" xfId="0" applyFont="1" applyFill="1" applyAlignment="1">
      <alignment horizontal="center"/>
    </xf>
    <xf numFmtId="4" fontId="0" fillId="0" borderId="0" xfId="0" applyNumberFormat="1" applyFont="1" applyAlignment="1"/>
    <xf numFmtId="3" fontId="12" fillId="0" borderId="21" xfId="0" applyNumberFormat="1" applyFont="1" applyBorder="1" applyAlignment="1">
      <alignment horizontal="right" vertical="center"/>
    </xf>
    <xf numFmtId="0" fontId="9" fillId="3" borderId="22" xfId="0" applyFont="1" applyFill="1" applyBorder="1" applyAlignment="1">
      <alignment horizontal="left" vertical="center"/>
    </xf>
    <xf numFmtId="0" fontId="18" fillId="4" borderId="8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2" borderId="22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21" fillId="5" borderId="6" xfId="0" applyFont="1" applyFill="1" applyBorder="1" applyAlignment="1">
      <alignment horizontal="left" vertical="center"/>
    </xf>
    <xf numFmtId="3" fontId="12" fillId="0" borderId="21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3" fontId="12" fillId="8" borderId="21" xfId="0" applyNumberFormat="1" applyFont="1" applyFill="1" applyBorder="1" applyAlignment="1">
      <alignment horizontal="right" vertical="center"/>
    </xf>
    <xf numFmtId="0" fontId="26" fillId="2" borderId="23" xfId="0" applyFont="1" applyFill="1" applyBorder="1" applyAlignment="1"/>
    <xf numFmtId="0" fontId="27" fillId="0" borderId="23" xfId="0" applyFont="1" applyBorder="1" applyAlignment="1"/>
    <xf numFmtId="0" fontId="28" fillId="0" borderId="23" xfId="0" applyFont="1" applyBorder="1"/>
    <xf numFmtId="14" fontId="28" fillId="0" borderId="23" xfId="0" applyNumberFormat="1" applyFont="1" applyBorder="1"/>
    <xf numFmtId="3" fontId="28" fillId="0" borderId="23" xfId="0" applyNumberFormat="1" applyFont="1" applyBorder="1"/>
    <xf numFmtId="0" fontId="29" fillId="0" borderId="0" xfId="0" applyFont="1" applyAlignment="1">
      <alignment wrapText="1"/>
    </xf>
    <xf numFmtId="0" fontId="29" fillId="8" borderId="0" xfId="0" applyFont="1" applyFill="1" applyAlignment="1">
      <alignment wrapText="1"/>
    </xf>
    <xf numFmtId="9" fontId="0" fillId="8" borderId="0" xfId="11" applyFont="1" applyFill="1">
      <alignment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41" fontId="10" fillId="0" borderId="0" xfId="1" applyFont="1" applyAlignment="1">
      <alignment horizontal="right" vertical="center"/>
    </xf>
    <xf numFmtId="41" fontId="0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3" fontId="13" fillId="3" borderId="21" xfId="0" applyNumberFormat="1" applyFont="1" applyFill="1" applyBorder="1" applyAlignment="1">
      <alignment horizontal="right" vertical="center"/>
    </xf>
    <xf numFmtId="0" fontId="18" fillId="6" borderId="21" xfId="0" applyFont="1" applyFill="1" applyBorder="1" applyAlignment="1">
      <alignment horizontal="center" vertical="center"/>
    </xf>
    <xf numFmtId="3" fontId="18" fillId="4" borderId="9" xfId="0" applyNumberFormat="1" applyFont="1" applyFill="1" applyBorder="1" applyAlignment="1">
      <alignment horizontal="center" vertical="center"/>
    </xf>
    <xf numFmtId="3" fontId="18" fillId="4" borderId="10" xfId="0" applyNumberFormat="1" applyFont="1" applyFill="1" applyBorder="1" applyAlignment="1">
      <alignment horizontal="center" vertical="center"/>
    </xf>
    <xf numFmtId="41" fontId="9" fillId="3" borderId="0" xfId="1" applyFont="1" applyFill="1" applyAlignment="1">
      <alignment horizontal="right" vertical="center"/>
    </xf>
    <xf numFmtId="0" fontId="9" fillId="3" borderId="4" xfId="0" applyFont="1" applyFill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41" fontId="9" fillId="3" borderId="5" xfId="1" applyFont="1" applyFill="1" applyBorder="1" applyAlignment="1">
      <alignment horizontal="right" vertical="center"/>
    </xf>
    <xf numFmtId="41" fontId="8" fillId="0" borderId="5" xfId="1" applyFont="1" applyBorder="1" applyAlignment="1">
      <alignment vertical="center"/>
    </xf>
    <xf numFmtId="0" fontId="9" fillId="3" borderId="3" xfId="0" applyFont="1" applyFill="1" applyBorder="1" applyAlignment="1">
      <alignment horizontal="left" vertical="center"/>
    </xf>
    <xf numFmtId="0" fontId="20" fillId="0" borderId="19" xfId="0" quotePrefix="1" applyFont="1" applyBorder="1" applyAlignment="1">
      <alignment horizontal="left" vertical="center" wrapText="1"/>
    </xf>
    <xf numFmtId="0" fontId="20" fillId="0" borderId="20" xfId="0" quotePrefix="1" applyFont="1" applyBorder="1" applyAlignment="1">
      <alignment horizontal="left" vertical="center" wrapText="1"/>
    </xf>
    <xf numFmtId="41" fontId="14" fillId="8" borderId="12" xfId="1" applyFont="1" applyFill="1" applyBorder="1" applyAlignment="1">
      <alignment horizontal="right" vertical="center"/>
    </xf>
    <xf numFmtId="41" fontId="14" fillId="8" borderId="13" xfId="1" applyFont="1" applyFill="1" applyBorder="1" applyAlignment="1">
      <alignment horizontal="right" vertical="center"/>
    </xf>
    <xf numFmtId="3" fontId="12" fillId="0" borderId="21" xfId="0" applyNumberFormat="1" applyFont="1" applyBorder="1" applyAlignment="1">
      <alignment horizontal="right" vertical="center"/>
    </xf>
    <xf numFmtId="3" fontId="21" fillId="3" borderId="14" xfId="0" applyNumberFormat="1" applyFont="1" applyFill="1" applyBorder="1" applyAlignment="1">
      <alignment horizontal="right" vertical="center"/>
    </xf>
    <xf numFmtId="3" fontId="21" fillId="3" borderId="16" xfId="0" applyNumberFormat="1" applyFont="1" applyFill="1" applyBorder="1" applyAlignment="1">
      <alignment horizontal="right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41" fontId="10" fillId="0" borderId="26" xfId="1" applyFont="1" applyBorder="1" applyAlignment="1">
      <alignment horizontal="right" vertical="center"/>
    </xf>
    <xf numFmtId="41" fontId="0" fillId="0" borderId="26" xfId="1" applyFont="1" applyBorder="1" applyAlignment="1">
      <alignment vertical="center"/>
    </xf>
  </cellXfs>
  <cellStyles count="12">
    <cellStyle name="Comma [0]" xfId="10"/>
    <cellStyle name="백분율" xfId="11" builtinId="5"/>
    <cellStyle name="쉼표 [0]" xfId="1" builtinId="6"/>
    <cellStyle name="쉼표 [0] 2" xfId="6"/>
    <cellStyle name="표준" xfId="0" builtinId="0"/>
    <cellStyle name="표준 12 10 2" xfId="2"/>
    <cellStyle name="표준 2" xfId="3"/>
    <cellStyle name="표준 3" xfId="4"/>
    <cellStyle name="표준 4" xfId="5"/>
    <cellStyle name="표준 5" xfId="7"/>
    <cellStyle name="표준 6" xfId="8"/>
    <cellStyle name="표준 7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topLeftCell="A13" workbookViewId="0">
      <selection activeCell="F12" sqref="F12"/>
    </sheetView>
  </sheetViews>
  <sheetFormatPr defaultRowHeight="15.75"/>
  <cols>
    <col min="6" max="6" width="20.06640625" customWidth="1"/>
  </cols>
  <sheetData>
    <row r="1" spans="1:9" ht="22.5">
      <c r="A1" s="14"/>
      <c r="B1" s="7" t="s">
        <v>36</v>
      </c>
      <c r="C1" s="14"/>
      <c r="D1" s="14"/>
      <c r="E1" s="14"/>
      <c r="F1" s="14"/>
      <c r="G1" s="14"/>
      <c r="H1" s="14"/>
      <c r="I1" s="14"/>
    </row>
    <row r="2" spans="1:9">
      <c r="A2" s="46"/>
      <c r="B2" s="47"/>
      <c r="C2" s="14"/>
      <c r="D2" s="14"/>
      <c r="E2" s="14"/>
      <c r="F2" s="14"/>
      <c r="G2" s="14"/>
      <c r="H2" s="14"/>
      <c r="I2" s="14"/>
    </row>
    <row r="3" spans="1:9">
      <c r="A3" s="14"/>
      <c r="B3" s="48" t="s">
        <v>0</v>
      </c>
      <c r="C3" s="43"/>
      <c r="D3" s="43"/>
      <c r="E3" s="43"/>
      <c r="F3" s="42" t="s">
        <v>1</v>
      </c>
      <c r="G3" s="43"/>
      <c r="H3" s="14"/>
      <c r="I3" s="14"/>
    </row>
    <row r="4" spans="1:9">
      <c r="A4" s="14"/>
      <c r="B4" s="8" t="str">
        <f>B9</f>
        <v>가. 광고소재 제작</v>
      </c>
      <c r="C4" s="9"/>
      <c r="D4" s="9"/>
      <c r="E4" s="9"/>
      <c r="F4" s="44">
        <f>F12</f>
        <v>5390000</v>
      </c>
      <c r="G4" s="45"/>
      <c r="H4" s="14"/>
      <c r="I4" s="14"/>
    </row>
    <row r="5" spans="1:9">
      <c r="A5" s="14"/>
      <c r="B5" s="8" t="str">
        <f>B14</f>
        <v>나. 온라인 광고 집행</v>
      </c>
      <c r="C5" s="9"/>
      <c r="D5" s="9"/>
      <c r="E5" s="9"/>
      <c r="F5" s="44">
        <f>F21</f>
        <v>35207139.416000001</v>
      </c>
      <c r="G5" s="45"/>
      <c r="H5" s="14"/>
      <c r="I5" s="14"/>
    </row>
    <row r="6" spans="1:9">
      <c r="A6" s="14"/>
      <c r="B6" s="58" t="s">
        <v>2</v>
      </c>
      <c r="C6" s="47"/>
      <c r="D6" s="47"/>
      <c r="E6" s="47"/>
      <c r="F6" s="53">
        <f>SUM(F4:G5)</f>
        <v>40597139.416000001</v>
      </c>
      <c r="G6" s="45"/>
      <c r="H6" s="14"/>
      <c r="I6" s="14"/>
    </row>
    <row r="7" spans="1:9">
      <c r="A7" s="14"/>
      <c r="B7" s="54" t="s">
        <v>3</v>
      </c>
      <c r="C7" s="55"/>
      <c r="D7" s="55"/>
      <c r="E7" s="55"/>
      <c r="F7" s="56">
        <f>ROUND(F6*1.1,0)</f>
        <v>44656853</v>
      </c>
      <c r="G7" s="57"/>
      <c r="H7" s="14"/>
      <c r="I7" s="14"/>
    </row>
    <row r="8" spans="1:9">
      <c r="A8" s="46"/>
      <c r="B8" s="47"/>
      <c r="C8" s="2"/>
      <c r="D8" s="2"/>
      <c r="E8" s="2"/>
      <c r="F8" s="2"/>
      <c r="G8" s="2"/>
      <c r="H8" s="14"/>
      <c r="I8" s="14"/>
    </row>
    <row r="9" spans="1:9">
      <c r="A9" s="14"/>
      <c r="B9" s="1" t="s">
        <v>16</v>
      </c>
      <c r="C9" s="14"/>
      <c r="D9" s="14"/>
      <c r="E9" s="17"/>
      <c r="F9" s="2"/>
      <c r="G9" s="2"/>
      <c r="H9" s="14"/>
      <c r="I9" s="14"/>
    </row>
    <row r="10" spans="1:9">
      <c r="A10" s="14"/>
      <c r="B10" s="26" t="s">
        <v>4</v>
      </c>
      <c r="C10" s="3" t="s">
        <v>5</v>
      </c>
      <c r="D10" s="3"/>
      <c r="E10" s="4"/>
      <c r="F10" s="51" t="s">
        <v>1</v>
      </c>
      <c r="G10" s="52"/>
      <c r="H10" s="14"/>
      <c r="I10" s="14"/>
    </row>
    <row r="11" spans="1:9">
      <c r="A11" s="14"/>
      <c r="B11" s="29" t="s">
        <v>17</v>
      </c>
      <c r="C11" s="59" t="s">
        <v>29</v>
      </c>
      <c r="D11" s="59"/>
      <c r="E11" s="60"/>
      <c r="F11" s="61">
        <f>1890000+3500000</f>
        <v>5390000</v>
      </c>
      <c r="G11" s="62"/>
      <c r="H11" s="14"/>
      <c r="I11" s="14"/>
    </row>
    <row r="12" spans="1:9">
      <c r="A12" s="14"/>
      <c r="B12" s="30" t="s">
        <v>6</v>
      </c>
      <c r="C12" s="5"/>
      <c r="D12" s="5"/>
      <c r="E12" s="6"/>
      <c r="F12" s="64">
        <f>SUM(F11:F11)</f>
        <v>5390000</v>
      </c>
      <c r="G12" s="65"/>
      <c r="H12" s="14"/>
      <c r="I12" s="14"/>
    </row>
    <row r="13" spans="1:9">
      <c r="A13" s="14"/>
      <c r="B13" s="1"/>
      <c r="C13" s="14"/>
      <c r="D13" s="14"/>
      <c r="E13" s="14"/>
      <c r="F13" s="14"/>
      <c r="G13" s="14"/>
      <c r="H13" s="14"/>
      <c r="I13" s="14"/>
    </row>
    <row r="14" spans="1:9">
      <c r="A14" s="14"/>
      <c r="B14" s="1" t="s">
        <v>35</v>
      </c>
      <c r="C14" s="14"/>
      <c r="D14" s="14"/>
      <c r="E14" s="14"/>
      <c r="F14" s="14"/>
      <c r="G14" s="14"/>
      <c r="H14" s="14"/>
      <c r="I14" s="14"/>
    </row>
    <row r="15" spans="1:9">
      <c r="A15" s="10"/>
      <c r="B15" s="28" t="s">
        <v>15</v>
      </c>
      <c r="C15" s="12" t="s">
        <v>7</v>
      </c>
      <c r="D15" s="16" t="s">
        <v>8</v>
      </c>
      <c r="E15" s="16" t="s">
        <v>9</v>
      </c>
      <c r="F15" s="50" t="s">
        <v>10</v>
      </c>
      <c r="G15" s="50"/>
      <c r="H15" s="10"/>
      <c r="I15" s="10"/>
    </row>
    <row r="16" spans="1:9">
      <c r="A16" s="21"/>
      <c r="B16" s="40" t="s">
        <v>30</v>
      </c>
      <c r="C16" s="41">
        <v>0.15</v>
      </c>
      <c r="D16" s="33">
        <v>4854603</v>
      </c>
      <c r="E16" s="24">
        <f>D16*C16</f>
        <v>728190.45</v>
      </c>
      <c r="F16" s="63">
        <f t="shared" ref="F16" si="0">D16+E16</f>
        <v>5582793.4500000002</v>
      </c>
      <c r="G16" s="63"/>
      <c r="H16" s="21"/>
      <c r="I16" s="21"/>
    </row>
    <row r="17" spans="1:9">
      <c r="A17" s="27"/>
      <c r="B17" s="40" t="s">
        <v>31</v>
      </c>
      <c r="C17" s="41">
        <v>0.15</v>
      </c>
      <c r="D17" s="33">
        <v>17029255</v>
      </c>
      <c r="E17" s="31">
        <f>D17*C17</f>
        <v>2554388.25</v>
      </c>
      <c r="F17" s="63">
        <f t="shared" ref="F17:F19" si="1">D17+E17</f>
        <v>19583643.25</v>
      </c>
      <c r="G17" s="63"/>
      <c r="H17" s="27"/>
      <c r="I17" s="27"/>
    </row>
    <row r="18" spans="1:9">
      <c r="A18" s="27"/>
      <c r="B18" s="40" t="s">
        <v>32</v>
      </c>
      <c r="C18" s="41">
        <v>0.1</v>
      </c>
      <c r="D18" s="33">
        <v>4527585</v>
      </c>
      <c r="E18" s="31">
        <f>D18*C18</f>
        <v>452758.5</v>
      </c>
      <c r="F18" s="63">
        <f t="shared" ref="F18" si="2">D18+E18</f>
        <v>4980343.5</v>
      </c>
      <c r="G18" s="63"/>
      <c r="H18" s="27"/>
      <c r="I18" s="27"/>
    </row>
    <row r="19" spans="1:9">
      <c r="A19" s="27"/>
      <c r="B19" s="40" t="s">
        <v>33</v>
      </c>
      <c r="C19" s="41">
        <v>0.1</v>
      </c>
      <c r="D19" s="33">
        <v>3148426.5600000005</v>
      </c>
      <c r="E19" s="31">
        <f>D19*C19</f>
        <v>314842.65600000008</v>
      </c>
      <c r="F19" s="63">
        <f t="shared" si="1"/>
        <v>3463269.2160000005</v>
      </c>
      <c r="G19" s="63"/>
      <c r="H19" s="27"/>
      <c r="I19" s="27"/>
    </row>
    <row r="20" spans="1:9">
      <c r="A20" s="14"/>
      <c r="B20" s="40" t="s">
        <v>34</v>
      </c>
      <c r="C20" s="41">
        <v>0.1</v>
      </c>
      <c r="D20" s="33">
        <v>1451900</v>
      </c>
      <c r="E20" s="24">
        <f>D20*C20</f>
        <v>145190</v>
      </c>
      <c r="F20" s="63">
        <f t="shared" ref="F20" si="3">D20+E20</f>
        <v>1597090</v>
      </c>
      <c r="G20" s="63"/>
      <c r="H20" s="14"/>
      <c r="I20" s="14"/>
    </row>
    <row r="21" spans="1:9">
      <c r="A21" s="14"/>
      <c r="B21" s="25" t="s">
        <v>11</v>
      </c>
      <c r="C21" s="13"/>
      <c r="D21" s="15">
        <f>SUM(D16:D20)</f>
        <v>31011769.560000002</v>
      </c>
      <c r="E21" s="20">
        <f>SUM(E16:E20)</f>
        <v>4195369.8560000006</v>
      </c>
      <c r="F21" s="49">
        <f>SUM(F16:G20)</f>
        <v>35207139.416000001</v>
      </c>
      <c r="G21" s="49"/>
      <c r="H21" s="14"/>
      <c r="I21" s="14"/>
    </row>
    <row r="22" spans="1:9">
      <c r="A22" s="14"/>
      <c r="B22" s="11"/>
      <c r="C22" s="14"/>
      <c r="D22" s="14"/>
      <c r="E22" s="14"/>
      <c r="F22" s="14"/>
      <c r="G22" s="14"/>
      <c r="H22" s="14"/>
      <c r="I22" s="14"/>
    </row>
    <row r="23" spans="1:9">
      <c r="A23" s="18"/>
      <c r="B23" s="11"/>
      <c r="C23" s="18"/>
      <c r="D23" s="18"/>
      <c r="E23" s="18"/>
      <c r="F23" s="18"/>
      <c r="G23" s="18"/>
      <c r="H23" s="18"/>
      <c r="I23" s="18"/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A6" sqref="A6"/>
    </sheetView>
  </sheetViews>
  <sheetFormatPr defaultRowHeight="15.75"/>
  <cols>
    <col min="6" max="6" width="21.796875" customWidth="1"/>
  </cols>
  <sheetData>
    <row r="1" spans="1:9" ht="22.5">
      <c r="A1" s="32"/>
      <c r="B1" s="7" t="s">
        <v>37</v>
      </c>
      <c r="C1" s="32"/>
      <c r="D1" s="32"/>
      <c r="E1" s="32"/>
      <c r="F1" s="32"/>
      <c r="G1" s="32"/>
      <c r="H1" s="32"/>
      <c r="I1" s="32"/>
    </row>
    <row r="2" spans="1:9">
      <c r="A2" s="46"/>
      <c r="B2" s="47"/>
      <c r="C2" s="32"/>
      <c r="D2" s="32"/>
      <c r="E2" s="32"/>
      <c r="F2" s="32"/>
      <c r="G2" s="32"/>
      <c r="H2" s="32"/>
      <c r="I2" s="32"/>
    </row>
    <row r="3" spans="1:9">
      <c r="A3" s="32"/>
      <c r="B3" s="48" t="s">
        <v>0</v>
      </c>
      <c r="C3" s="43"/>
      <c r="D3" s="43"/>
      <c r="E3" s="43"/>
      <c r="F3" s="42" t="s">
        <v>1</v>
      </c>
      <c r="G3" s="43"/>
      <c r="H3" s="32"/>
      <c r="I3" s="32"/>
    </row>
    <row r="4" spans="1:9">
      <c r="A4" s="32"/>
      <c r="B4" s="66" t="s">
        <v>38</v>
      </c>
      <c r="C4" s="67"/>
      <c r="D4" s="67"/>
      <c r="E4" s="67"/>
      <c r="F4" s="68">
        <v>26000000</v>
      </c>
      <c r="G4" s="69"/>
      <c r="H4" s="32"/>
      <c r="I4" s="32"/>
    </row>
    <row r="5" spans="1:9">
      <c r="A5" s="32"/>
      <c r="B5" s="11"/>
      <c r="C5" s="32"/>
      <c r="D5" s="32"/>
      <c r="E5" s="32"/>
      <c r="F5" s="32"/>
      <c r="G5" s="32"/>
      <c r="H5" s="32"/>
      <c r="I5" s="32"/>
    </row>
    <row r="6" spans="1:9">
      <c r="A6" s="32"/>
      <c r="B6" s="11"/>
      <c r="C6" s="32"/>
      <c r="D6" s="32"/>
      <c r="E6" s="32"/>
      <c r="F6" s="32"/>
      <c r="G6" s="32"/>
      <c r="H6" s="32"/>
      <c r="I6" s="32"/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/>
  <sheetData/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1"/>
  <sheetViews>
    <sheetView workbookViewId="0"/>
  </sheetViews>
  <sheetFormatPr defaultRowHeight="15.75"/>
  <sheetData>
    <row r="1" spans="1:3">
      <c r="A1" s="22" t="s">
        <v>13</v>
      </c>
      <c r="B1" s="22" t="s">
        <v>14</v>
      </c>
      <c r="C1" s="22" t="s">
        <v>12</v>
      </c>
    </row>
    <row r="2" spans="1:3">
      <c r="A2" s="36" t="str">
        <f ca="1">IFERROR(__X사ludf.DUMMYFUNCTION("ARRAYFORMULA(
  IF(ROW(B2:B50500)=1, ""채널"",
    IF(LEN(B2:B50500)=0, """",
      IF(REGEX사MATCH(B2:B50500, ""(?i)유튜브|G사 *디스플레이""), ""G사"",
        IF(REGEX사MATCH(B2:B50500, ""(?i)M사""), ""M사"",
          IF(REGEX사MATCH(B2:B50500, ""(?i)K사 *(디스플레이|비즈보드)""),"&amp;" ""K사"",
           IF(REGEX사MATCH(B2:B50500, ""(?i)토스""), ""토스"", 
            IF(REGEX사MATCH(B2:B50500, ""(?i)\bGFA\b""), ""N사"",
              IF(REGEX사MATCH(B2:B50500, ""(?i)브랜드검색""), ""네이버SA"",
               IF(REGEX사MATCH(B2:B50500, ""(?i)리멤버""), "&amp;"""리멤버"",
                IF(REGEX사MATCH(B2:B50500, ""(?i)(^|[^A-Z])X사([^A-Z]|$)""), ""X사"", """")
              )
            )
          )
        )
      )
    )
  )
)
))"),"G사")</f>
        <v>G사</v>
      </c>
      <c r="B2" s="37">
        <v>46082</v>
      </c>
      <c r="C2" s="38">
        <f ca="1">IFERROR(__X사ludf.DUMMYFUNCTION("""COMPUTED_VALUE"""),172802)</f>
        <v>172802</v>
      </c>
    </row>
    <row r="3" spans="1:3">
      <c r="A3" s="36" t="str">
        <f ca="1">IFERROR(__X사ludf.DUMMYFUNCTION("""COMPUTED_VALUE"""),"G사")</f>
        <v>G사</v>
      </c>
      <c r="B3" s="37">
        <v>46083</v>
      </c>
      <c r="C3" s="38">
        <f ca="1">IFERROR(__X사ludf.DUMMYFUNCTION("""COMPUTED_VALUE"""),172676)</f>
        <v>172676</v>
      </c>
    </row>
    <row r="4" spans="1:3">
      <c r="A4" s="36" t="str">
        <f ca="1">IFERROR(__X사ludf.DUMMYFUNCTION("""COMPUTED_VALUE"""),"G사")</f>
        <v>G사</v>
      </c>
      <c r="B4" s="37">
        <v>46084</v>
      </c>
      <c r="C4" s="38">
        <f ca="1">IFERROR(__X사ludf.DUMMYFUNCTION("""COMPUTED_VALUE"""),156018)</f>
        <v>156018</v>
      </c>
    </row>
    <row r="5" spans="1:3">
      <c r="A5" s="36" t="str">
        <f ca="1">IFERROR(__X사ludf.DUMMYFUNCTION("""COMPUTED_VALUE"""),"G사")</f>
        <v>G사</v>
      </c>
      <c r="B5" s="37">
        <v>46085</v>
      </c>
      <c r="C5" s="38">
        <f ca="1">IFERROR(__X사ludf.DUMMYFUNCTION("""COMPUTED_VALUE"""),51072)</f>
        <v>51072</v>
      </c>
    </row>
    <row r="6" spans="1:3">
      <c r="A6" s="36" t="str">
        <f ca="1">IFERROR(__X사ludf.DUMMYFUNCTION("""COMPUTED_VALUE"""),"G사")</f>
        <v>G사</v>
      </c>
      <c r="B6" s="37">
        <v>46086</v>
      </c>
      <c r="C6" s="38">
        <f ca="1">IFERROR(__X사ludf.DUMMYFUNCTION("""COMPUTED_VALUE"""),172592)</f>
        <v>172592</v>
      </c>
    </row>
    <row r="7" spans="1:3">
      <c r="A7" s="36" t="str">
        <f ca="1">IFERROR(__X사ludf.DUMMYFUNCTION("""COMPUTED_VALUE"""),"G사")</f>
        <v>G사</v>
      </c>
      <c r="B7" s="37">
        <v>46087</v>
      </c>
      <c r="C7" s="38">
        <f ca="1">IFERROR(__X사ludf.DUMMYFUNCTION("""COMPUTED_VALUE"""),152312)</f>
        <v>152312</v>
      </c>
    </row>
    <row r="8" spans="1:3">
      <c r="A8" s="36" t="str">
        <f ca="1">IFERROR(__X사ludf.DUMMYFUNCTION("""COMPUTED_VALUE"""),"G사")</f>
        <v>G사</v>
      </c>
      <c r="B8" s="37">
        <v>46088</v>
      </c>
      <c r="C8" s="38">
        <f ca="1">IFERROR(__X사ludf.DUMMYFUNCTION("""COMPUTED_VALUE"""),30632)</f>
        <v>30632</v>
      </c>
    </row>
    <row r="9" spans="1:3">
      <c r="A9" s="36" t="str">
        <f ca="1">IFERROR(__X사ludf.DUMMYFUNCTION("""COMPUTED_VALUE"""),"G사")</f>
        <v>G사</v>
      </c>
      <c r="B9" s="37">
        <v>46089</v>
      </c>
      <c r="C9" s="38">
        <f ca="1">IFERROR(__X사ludf.DUMMYFUNCTION("""COMPUTED_VALUE"""),172664)</f>
        <v>172664</v>
      </c>
    </row>
    <row r="10" spans="1:3">
      <c r="A10" s="36" t="str">
        <f ca="1">IFERROR(__X사ludf.DUMMYFUNCTION("""COMPUTED_VALUE"""),"G사")</f>
        <v>G사</v>
      </c>
      <c r="B10" s="37">
        <v>46090</v>
      </c>
      <c r="C10" s="38">
        <f ca="1">IFERROR(__X사ludf.DUMMYFUNCTION("""COMPUTED_VALUE"""),123881)</f>
        <v>123881</v>
      </c>
    </row>
    <row r="11" spans="1:3">
      <c r="A11" s="36" t="str">
        <f ca="1">IFERROR(__X사ludf.DUMMYFUNCTION("""COMPUTED_VALUE"""),"G사")</f>
        <v>G사</v>
      </c>
      <c r="B11" s="37">
        <v>46091</v>
      </c>
      <c r="C11" s="38">
        <f ca="1">IFERROR(__X사ludf.DUMMYFUNCTION("""COMPUTED_VALUE"""),14992)</f>
        <v>14992</v>
      </c>
    </row>
    <row r="12" spans="1:3">
      <c r="A12" s="36" t="str">
        <f ca="1">IFERROR(__X사ludf.DUMMYFUNCTION("""COMPUTED_VALUE"""),"G사")</f>
        <v>G사</v>
      </c>
      <c r="B12" s="37">
        <v>46092</v>
      </c>
      <c r="C12" s="38">
        <f ca="1">IFERROR(__X사ludf.DUMMYFUNCTION("""COMPUTED_VALUE"""),172798)</f>
        <v>172798</v>
      </c>
    </row>
    <row r="13" spans="1:3">
      <c r="A13" s="36" t="str">
        <f ca="1">IFERROR(__X사ludf.DUMMYFUNCTION("""COMPUTED_VALUE"""),"G사")</f>
        <v>G사</v>
      </c>
      <c r="B13" s="37">
        <v>46093</v>
      </c>
      <c r="C13" s="38">
        <f ca="1">IFERROR(__X사ludf.DUMMYFUNCTION("""COMPUTED_VALUE"""),245435)</f>
        <v>245435</v>
      </c>
    </row>
    <row r="14" spans="1:3">
      <c r="A14" s="36" t="str">
        <f ca="1">IFERROR(__X사ludf.DUMMYFUNCTION("""COMPUTED_VALUE"""),"G사")</f>
        <v>G사</v>
      </c>
      <c r="B14" s="37">
        <v>46094</v>
      </c>
      <c r="C14" s="38">
        <f ca="1">IFERROR(__X사ludf.DUMMYFUNCTION("""COMPUTED_VALUE"""),26069)</f>
        <v>26069</v>
      </c>
    </row>
    <row r="15" spans="1:3">
      <c r="A15" s="36" t="str">
        <f ca="1">IFERROR(__X사ludf.DUMMYFUNCTION("""COMPUTED_VALUE"""),"G사")</f>
        <v>G사</v>
      </c>
      <c r="B15" s="37">
        <v>46095</v>
      </c>
      <c r="C15" s="38">
        <f ca="1">IFERROR(__X사ludf.DUMMYFUNCTION("""COMPUTED_VALUE"""),172603)</f>
        <v>172603</v>
      </c>
    </row>
    <row r="16" spans="1:3">
      <c r="A16" s="36" t="str">
        <f ca="1">IFERROR(__X사ludf.DUMMYFUNCTION("""COMPUTED_VALUE"""),"G사")</f>
        <v>G사</v>
      </c>
      <c r="B16" s="37">
        <v>46096</v>
      </c>
      <c r="C16" s="38">
        <f ca="1">IFERROR(__X사ludf.DUMMYFUNCTION("""COMPUTED_VALUE"""),172702)</f>
        <v>172702</v>
      </c>
    </row>
    <row r="17" spans="1:5">
      <c r="A17" s="36" t="str">
        <f ca="1">IFERROR(__X사ludf.DUMMYFUNCTION("""COMPUTED_VALUE"""),"G사")</f>
        <v>G사</v>
      </c>
      <c r="B17" s="37">
        <v>46097</v>
      </c>
      <c r="C17" s="38">
        <f ca="1">IFERROR(__X사ludf.DUMMYFUNCTION("""COMPUTED_VALUE"""),172774)</f>
        <v>172774</v>
      </c>
    </row>
    <row r="18" spans="1:5">
      <c r="A18" s="36" t="str">
        <f ca="1">IFERROR(__X사ludf.DUMMYFUNCTION("""COMPUTED_VALUE"""),"G사")</f>
        <v>G사</v>
      </c>
      <c r="B18" s="37">
        <v>46098</v>
      </c>
      <c r="C18" s="38">
        <f ca="1">IFERROR(__X사ludf.DUMMYFUNCTION("""COMPUTED_VALUE"""),357173)</f>
        <v>357173</v>
      </c>
    </row>
    <row r="19" spans="1:5">
      <c r="A19" s="36" t="str">
        <f ca="1">IFERROR(__X사ludf.DUMMYFUNCTION("""COMPUTED_VALUE"""),"G사")</f>
        <v>G사</v>
      </c>
      <c r="B19" s="37">
        <v>46099</v>
      </c>
      <c r="C19" s="38">
        <f ca="1">IFERROR(__X사ludf.DUMMYFUNCTION("""COMPUTED_VALUE"""),172639)</f>
        <v>172639</v>
      </c>
    </row>
    <row r="20" spans="1:5">
      <c r="A20" s="36" t="str">
        <f ca="1">IFERROR(__X사ludf.DUMMYFUNCTION("""COMPUTED_VALUE"""),"G사")</f>
        <v>G사</v>
      </c>
      <c r="B20" s="37">
        <v>46100</v>
      </c>
      <c r="C20" s="38">
        <f ca="1">IFERROR(__X사ludf.DUMMYFUNCTION("""COMPUTED_VALUE"""),48798)</f>
        <v>48798</v>
      </c>
    </row>
    <row r="21" spans="1:5">
      <c r="A21" s="36" t="str">
        <f ca="1">IFERROR(__X사ludf.DUMMYFUNCTION("""COMPUTED_VALUE"""),"G사")</f>
        <v>G사</v>
      </c>
      <c r="B21" s="37">
        <v>46101</v>
      </c>
      <c r="C21" s="38">
        <f ca="1">IFERROR(__X사ludf.DUMMYFUNCTION("""COMPUTED_VALUE"""),172785)</f>
        <v>172785</v>
      </c>
    </row>
    <row r="22" spans="1:5">
      <c r="A22" s="36" t="str">
        <f ca="1">IFERROR(__X사ludf.DUMMYFUNCTION("""COMPUTED_VALUE"""),"G사")</f>
        <v>G사</v>
      </c>
      <c r="B22" s="37">
        <v>46102</v>
      </c>
      <c r="C22" s="38">
        <f ca="1">IFERROR(__X사ludf.DUMMYFUNCTION("""COMPUTED_VALUE"""),34222)</f>
        <v>34222</v>
      </c>
      <c r="E22" s="39" t="s">
        <v>30</v>
      </c>
    </row>
    <row r="23" spans="1:5">
      <c r="A23" s="36" t="str">
        <f ca="1">IFERROR(__X사ludf.DUMMYFUNCTION("""COMPUTED_VALUE"""),"G사")</f>
        <v>G사</v>
      </c>
      <c r="B23" s="37">
        <v>46103</v>
      </c>
      <c r="C23" s="38">
        <f ca="1">IFERROR(__X사ludf.DUMMYFUNCTION("""COMPUTED_VALUE"""),172593)</f>
        <v>172593</v>
      </c>
      <c r="E23" s="39" t="s">
        <v>31</v>
      </c>
    </row>
    <row r="24" spans="1:5">
      <c r="A24" s="36" t="str">
        <f ca="1">IFERROR(__X사ludf.DUMMYFUNCTION("""COMPUTED_VALUE"""),"G사")</f>
        <v>G사</v>
      </c>
      <c r="B24" s="37">
        <v>46104</v>
      </c>
      <c r="C24" s="38">
        <f ca="1">IFERROR(__X사ludf.DUMMYFUNCTION("""COMPUTED_VALUE"""),33972)</f>
        <v>33972</v>
      </c>
      <c r="E24" s="39" t="s">
        <v>32</v>
      </c>
    </row>
    <row r="25" spans="1:5">
      <c r="A25" s="36" t="str">
        <f ca="1">IFERROR(__X사ludf.DUMMYFUNCTION("""COMPUTED_VALUE"""),"G사")</f>
        <v>G사</v>
      </c>
      <c r="B25" s="37">
        <v>46105</v>
      </c>
      <c r="C25" s="38">
        <f ca="1">IFERROR(__X사ludf.DUMMYFUNCTION("""COMPUTED_VALUE"""),172817)</f>
        <v>172817</v>
      </c>
      <c r="E25" s="39" t="s">
        <v>33</v>
      </c>
    </row>
    <row r="26" spans="1:5">
      <c r="A26" s="36" t="str">
        <f ca="1">IFERROR(__X사ludf.DUMMYFUNCTION("""COMPUTED_VALUE"""),"G사")</f>
        <v>G사</v>
      </c>
      <c r="B26" s="37">
        <v>46106</v>
      </c>
      <c r="C26" s="38">
        <f ca="1">IFERROR(__X사ludf.DUMMYFUNCTION("""COMPUTED_VALUE"""),7405)</f>
        <v>7405</v>
      </c>
      <c r="E26" s="39" t="s">
        <v>34</v>
      </c>
    </row>
    <row r="27" spans="1:5">
      <c r="A27" s="36" t="str">
        <f ca="1">IFERROR(__X사ludf.DUMMYFUNCTION("""COMPUTED_VALUE"""),"G사")</f>
        <v>G사</v>
      </c>
      <c r="B27" s="37">
        <v>46107</v>
      </c>
      <c r="C27" s="38">
        <f ca="1">IFERROR(__X사ludf.DUMMYFUNCTION("""COMPUTED_VALUE"""),172756)</f>
        <v>172756</v>
      </c>
    </row>
    <row r="28" spans="1:5">
      <c r="A28" s="36" t="str">
        <f ca="1">IFERROR(__X사ludf.DUMMYFUNCTION("""COMPUTED_VALUE"""),"G사")</f>
        <v>G사</v>
      </c>
      <c r="B28" s="37">
        <v>46108</v>
      </c>
      <c r="C28" s="38">
        <f ca="1">IFERROR(__X사ludf.DUMMYFUNCTION("""COMPUTED_VALUE"""),172800)</f>
        <v>172800</v>
      </c>
    </row>
    <row r="29" spans="1:5">
      <c r="A29" s="36" t="str">
        <f ca="1">IFERROR(__X사ludf.DUMMYFUNCTION("""COMPUTED_VALUE"""),"G사")</f>
        <v>G사</v>
      </c>
      <c r="B29" s="37">
        <v>46109</v>
      </c>
      <c r="C29" s="38">
        <f ca="1">IFERROR(__X사ludf.DUMMYFUNCTION("""COMPUTED_VALUE"""),172658)</f>
        <v>172658</v>
      </c>
    </row>
    <row r="30" spans="1:5">
      <c r="A30" s="36" t="str">
        <f ca="1">IFERROR(__X사ludf.DUMMYFUNCTION("""COMPUTED_VALUE"""),"G사")</f>
        <v>G사</v>
      </c>
      <c r="B30" s="37">
        <v>46110</v>
      </c>
      <c r="C30" s="38">
        <f ca="1">IFERROR(__X사ludf.DUMMYFUNCTION("""COMPUTED_VALUE"""),703499)</f>
        <v>703499</v>
      </c>
    </row>
    <row r="31" spans="1:5">
      <c r="A31" s="36" t="str">
        <f ca="1">IFERROR(__X사ludf.DUMMYFUNCTION("""COMPUTED_VALUE"""),"G사")</f>
        <v>G사</v>
      </c>
      <c r="B31" s="37">
        <v>46111</v>
      </c>
      <c r="C31" s="38">
        <f ca="1">IFERROR(__X사ludf.DUMMYFUNCTION("""COMPUTED_VALUE"""),172694)</f>
        <v>172694</v>
      </c>
    </row>
    <row r="32" spans="1:5">
      <c r="A32" s="36" t="str">
        <f ca="1">IFERROR(__X사ludf.DUMMYFUNCTION("""COMPUTED_VALUE"""),"G사")</f>
        <v>G사</v>
      </c>
      <c r="B32" s="37">
        <v>46112</v>
      </c>
      <c r="C32" s="38">
        <f ca="1">IFERROR(__X사ludf.DUMMYFUNCTION("""COMPUTED_VALUE"""),105770)</f>
        <v>105770</v>
      </c>
    </row>
    <row r="33" spans="1:3">
      <c r="A33" s="36" t="str">
        <f ca="1">IFERROR(__X사ludf.DUMMYFUNCTION("""COMPUTED_VALUE"""),"M사")</f>
        <v>M사</v>
      </c>
      <c r="B33" s="37">
        <v>46082</v>
      </c>
      <c r="C33" s="38">
        <f ca="1">IFERROR(__X사ludf.DUMMYFUNCTION("""COMPUTED_VALUE"""),568864)</f>
        <v>568864</v>
      </c>
    </row>
    <row r="34" spans="1:3">
      <c r="A34" s="36" t="str">
        <f ca="1">IFERROR(__X사ludf.DUMMYFUNCTION("""COMPUTED_VALUE"""),"M사")</f>
        <v>M사</v>
      </c>
      <c r="B34" s="37">
        <v>46083</v>
      </c>
      <c r="C34" s="38">
        <f ca="1">IFERROR(__X사ludf.DUMMYFUNCTION("""COMPUTED_VALUE"""),317058)</f>
        <v>317058</v>
      </c>
    </row>
    <row r="35" spans="1:3">
      <c r="A35" s="36" t="str">
        <f ca="1">IFERROR(__X사ludf.DUMMYFUNCTION("""COMPUTED_VALUE"""),"M사")</f>
        <v>M사</v>
      </c>
      <c r="B35" s="37">
        <v>46084</v>
      </c>
      <c r="C35" s="38">
        <f ca="1">IFERROR(__X사ludf.DUMMYFUNCTION("""COMPUTED_VALUE"""),27240)</f>
        <v>27240</v>
      </c>
    </row>
    <row r="36" spans="1:3">
      <c r="A36" s="36" t="str">
        <f ca="1">IFERROR(__X사ludf.DUMMYFUNCTION("""COMPUTED_VALUE"""),"M사")</f>
        <v>M사</v>
      </c>
      <c r="B36" s="37">
        <v>46085</v>
      </c>
      <c r="C36" s="38">
        <f ca="1">IFERROR(__X사ludf.DUMMYFUNCTION("""COMPUTED_VALUE"""),1149638)</f>
        <v>1149638</v>
      </c>
    </row>
    <row r="37" spans="1:3">
      <c r="A37" s="36" t="str">
        <f ca="1">IFERROR(__X사ludf.DUMMYFUNCTION("""COMPUTED_VALUE"""),"M사")</f>
        <v>M사</v>
      </c>
      <c r="B37" s="37">
        <v>46086</v>
      </c>
      <c r="C37" s="38">
        <f ca="1">IFERROR(__X사ludf.DUMMYFUNCTION("""COMPUTED_VALUE"""),689878)</f>
        <v>689878</v>
      </c>
    </row>
    <row r="38" spans="1:3">
      <c r="A38" s="36" t="str">
        <f ca="1">IFERROR(__X사ludf.DUMMYFUNCTION("""COMPUTED_VALUE"""),"M사")</f>
        <v>M사</v>
      </c>
      <c r="B38" s="37">
        <v>46087</v>
      </c>
      <c r="C38" s="38">
        <f ca="1">IFERROR(__X사ludf.DUMMYFUNCTION("""COMPUTED_VALUE"""),172027)</f>
        <v>172027</v>
      </c>
    </row>
    <row r="39" spans="1:3">
      <c r="A39" s="36" t="str">
        <f ca="1">IFERROR(__X사ludf.DUMMYFUNCTION("""COMPUTED_VALUE"""),"M사")</f>
        <v>M사</v>
      </c>
      <c r="B39" s="37">
        <v>46088</v>
      </c>
      <c r="C39" s="38">
        <f ca="1">IFERROR(__X사ludf.DUMMYFUNCTION("""COMPUTED_VALUE"""),603101)</f>
        <v>603101</v>
      </c>
    </row>
    <row r="40" spans="1:3">
      <c r="A40" s="36" t="str">
        <f ca="1">IFERROR(__X사ludf.DUMMYFUNCTION("""COMPUTED_VALUE"""),"M사")</f>
        <v>M사</v>
      </c>
      <c r="B40" s="37">
        <v>46089</v>
      </c>
      <c r="C40" s="38">
        <f ca="1">IFERROR(__X사ludf.DUMMYFUNCTION("""COMPUTED_VALUE"""),320384)</f>
        <v>320384</v>
      </c>
    </row>
    <row r="41" spans="1:3">
      <c r="A41" s="36" t="str">
        <f ca="1">IFERROR(__X사ludf.DUMMYFUNCTION("""COMPUTED_VALUE"""),"M사")</f>
        <v>M사</v>
      </c>
      <c r="B41" s="37">
        <v>46090</v>
      </c>
      <c r="C41" s="38">
        <f ca="1">IFERROR(__X사ludf.DUMMYFUNCTION("""COMPUTED_VALUE"""),24302)</f>
        <v>24302</v>
      </c>
    </row>
    <row r="42" spans="1:3">
      <c r="A42" s="36" t="str">
        <f ca="1">IFERROR(__X사ludf.DUMMYFUNCTION("""COMPUTED_VALUE"""),"M사")</f>
        <v>M사</v>
      </c>
      <c r="B42" s="37">
        <v>46091</v>
      </c>
      <c r="C42" s="38">
        <f ca="1">IFERROR(__X사ludf.DUMMYFUNCTION("""COMPUTED_VALUE"""),1107263)</f>
        <v>1107263</v>
      </c>
    </row>
    <row r="43" spans="1:3">
      <c r="A43" s="36" t="str">
        <f ca="1">IFERROR(__X사ludf.DUMMYFUNCTION("""COMPUTED_VALUE"""),"M사")</f>
        <v>M사</v>
      </c>
      <c r="B43" s="37">
        <v>46092</v>
      </c>
      <c r="C43" s="38">
        <f ca="1">IFERROR(__X사ludf.DUMMYFUNCTION("""COMPUTED_VALUE"""),982052)</f>
        <v>982052</v>
      </c>
    </row>
    <row r="44" spans="1:3">
      <c r="A44" s="36" t="str">
        <f ca="1">IFERROR(__X사ludf.DUMMYFUNCTION("""COMPUTED_VALUE"""),"M사")</f>
        <v>M사</v>
      </c>
      <c r="B44" s="37">
        <v>46093</v>
      </c>
      <c r="C44" s="38">
        <f ca="1">IFERROR(__X사ludf.DUMMYFUNCTION("""COMPUTED_VALUE"""),256785)</f>
        <v>256785</v>
      </c>
    </row>
    <row r="45" spans="1:3">
      <c r="A45" s="36" t="str">
        <f ca="1">IFERROR(__X사ludf.DUMMYFUNCTION("""COMPUTED_VALUE"""),"M사")</f>
        <v>M사</v>
      </c>
      <c r="B45" s="37">
        <v>46094</v>
      </c>
      <c r="C45" s="38">
        <f ca="1">IFERROR(__X사ludf.DUMMYFUNCTION("""COMPUTED_VALUE"""),558760)</f>
        <v>558760</v>
      </c>
    </row>
    <row r="46" spans="1:3">
      <c r="A46" s="36" t="str">
        <f ca="1">IFERROR(__X사ludf.DUMMYFUNCTION("""COMPUTED_VALUE"""),"M사")</f>
        <v>M사</v>
      </c>
      <c r="B46" s="37">
        <v>46095</v>
      </c>
      <c r="C46" s="38">
        <f ca="1">IFERROR(__X사ludf.DUMMYFUNCTION("""COMPUTED_VALUE"""),301555)</f>
        <v>301555</v>
      </c>
    </row>
    <row r="47" spans="1:3">
      <c r="A47" s="36" t="str">
        <f ca="1">IFERROR(__X사ludf.DUMMYFUNCTION("""COMPUTED_VALUE"""),"M사")</f>
        <v>M사</v>
      </c>
      <c r="B47" s="37">
        <v>46096</v>
      </c>
      <c r="C47" s="38">
        <f ca="1">IFERROR(__X사ludf.DUMMYFUNCTION("""COMPUTED_VALUE"""),13928)</f>
        <v>13928</v>
      </c>
    </row>
    <row r="48" spans="1:3">
      <c r="A48" s="36" t="str">
        <f ca="1">IFERROR(__X사ludf.DUMMYFUNCTION("""COMPUTED_VALUE"""),"M사")</f>
        <v>M사</v>
      </c>
      <c r="B48" s="37">
        <v>46097</v>
      </c>
      <c r="C48" s="38">
        <f ca="1">IFERROR(__X사ludf.DUMMYFUNCTION("""COMPUTED_VALUE"""),1222256)</f>
        <v>1222256</v>
      </c>
    </row>
    <row r="49" spans="1:3">
      <c r="A49" s="36" t="str">
        <f ca="1">IFERROR(__X사ludf.DUMMYFUNCTION("""COMPUTED_VALUE"""),"M사")</f>
        <v>M사</v>
      </c>
      <c r="B49" s="37">
        <v>46098</v>
      </c>
      <c r="C49" s="38">
        <f ca="1">IFERROR(__X사ludf.DUMMYFUNCTION("""COMPUTED_VALUE"""),901957)</f>
        <v>901957</v>
      </c>
    </row>
    <row r="50" spans="1:3">
      <c r="A50" s="36" t="str">
        <f ca="1">IFERROR(__X사ludf.DUMMYFUNCTION("""COMPUTED_VALUE"""),"M사")</f>
        <v>M사</v>
      </c>
      <c r="B50" s="37">
        <v>46099</v>
      </c>
      <c r="C50" s="38">
        <f ca="1">IFERROR(__X사ludf.DUMMYFUNCTION("""COMPUTED_VALUE"""),226992)</f>
        <v>226992</v>
      </c>
    </row>
    <row r="51" spans="1:3">
      <c r="A51" s="36" t="str">
        <f ca="1">IFERROR(__X사ludf.DUMMYFUNCTION("""COMPUTED_VALUE"""),"M사")</f>
        <v>M사</v>
      </c>
      <c r="B51" s="37">
        <v>46100</v>
      </c>
      <c r="C51" s="38">
        <f ca="1">IFERROR(__X사ludf.DUMMYFUNCTION("""COMPUTED_VALUE"""),587021)</f>
        <v>587021</v>
      </c>
    </row>
    <row r="52" spans="1:3">
      <c r="A52" s="36" t="str">
        <f ca="1">IFERROR(__X사ludf.DUMMYFUNCTION("""COMPUTED_VALUE"""),"M사")</f>
        <v>M사</v>
      </c>
      <c r="B52" s="37">
        <v>46101</v>
      </c>
      <c r="C52" s="38">
        <f ca="1">IFERROR(__X사ludf.DUMMYFUNCTION("""COMPUTED_VALUE"""),320013)</f>
        <v>320013</v>
      </c>
    </row>
    <row r="53" spans="1:3">
      <c r="A53" s="36" t="str">
        <f ca="1">IFERROR(__X사ludf.DUMMYFUNCTION("""COMPUTED_VALUE"""),"M사")</f>
        <v>M사</v>
      </c>
      <c r="B53" s="37">
        <v>46102</v>
      </c>
      <c r="C53" s="38">
        <f ca="1">IFERROR(__X사ludf.DUMMYFUNCTION("""COMPUTED_VALUE"""),34195)</f>
        <v>34195</v>
      </c>
    </row>
    <row r="54" spans="1:3">
      <c r="A54" s="36" t="str">
        <f ca="1">IFERROR(__X사ludf.DUMMYFUNCTION("""COMPUTED_VALUE"""),"M사")</f>
        <v>M사</v>
      </c>
      <c r="B54" s="37">
        <v>46103</v>
      </c>
      <c r="C54" s="38">
        <f ca="1">IFERROR(__X사ludf.DUMMYFUNCTION("""COMPUTED_VALUE"""),1357867)</f>
        <v>1357867</v>
      </c>
    </row>
    <row r="55" spans="1:3">
      <c r="A55" s="36" t="str">
        <f ca="1">IFERROR(__X사ludf.DUMMYFUNCTION("""COMPUTED_VALUE"""),"M사")</f>
        <v>M사</v>
      </c>
      <c r="B55" s="37">
        <v>46104</v>
      </c>
      <c r="C55" s="38">
        <f ca="1">IFERROR(__X사ludf.DUMMYFUNCTION("""COMPUTED_VALUE"""),960709)</f>
        <v>960709</v>
      </c>
    </row>
    <row r="56" spans="1:3">
      <c r="A56" s="36" t="str">
        <f ca="1">IFERROR(__X사ludf.DUMMYFUNCTION("""COMPUTED_VALUE"""),"M사")</f>
        <v>M사</v>
      </c>
      <c r="B56" s="37">
        <v>46105</v>
      </c>
      <c r="C56" s="38">
        <f ca="1">IFERROR(__X사ludf.DUMMYFUNCTION("""COMPUTED_VALUE"""),254924)</f>
        <v>254924</v>
      </c>
    </row>
    <row r="57" spans="1:3">
      <c r="A57" s="36" t="str">
        <f ca="1">IFERROR(__X사ludf.DUMMYFUNCTION("""COMPUTED_VALUE"""),"M사")</f>
        <v>M사</v>
      </c>
      <c r="B57" s="37">
        <v>46106</v>
      </c>
      <c r="C57" s="38">
        <f ca="1">IFERROR(__X사ludf.DUMMYFUNCTION("""COMPUTED_VALUE"""),638760)</f>
        <v>638760</v>
      </c>
    </row>
    <row r="58" spans="1:3">
      <c r="A58" s="36" t="str">
        <f ca="1">IFERROR(__X사ludf.DUMMYFUNCTION("""COMPUTED_VALUE"""),"M사")</f>
        <v>M사</v>
      </c>
      <c r="B58" s="37">
        <v>46107</v>
      </c>
      <c r="C58" s="38">
        <f ca="1">IFERROR(__X사ludf.DUMMYFUNCTION("""COMPUTED_VALUE"""),334367)</f>
        <v>334367</v>
      </c>
    </row>
    <row r="59" spans="1:3">
      <c r="A59" s="36" t="str">
        <f ca="1">IFERROR(__X사ludf.DUMMYFUNCTION("""COMPUTED_VALUE"""),"M사")</f>
        <v>M사</v>
      </c>
      <c r="B59" s="37">
        <v>46108</v>
      </c>
      <c r="C59" s="38">
        <f ca="1">IFERROR(__X사ludf.DUMMYFUNCTION("""COMPUTED_VALUE"""),38185)</f>
        <v>38185</v>
      </c>
    </row>
    <row r="60" spans="1:3">
      <c r="A60" s="36" t="str">
        <f ca="1">IFERROR(__X사ludf.DUMMYFUNCTION("""COMPUTED_VALUE"""),"M사")</f>
        <v>M사</v>
      </c>
      <c r="B60" s="37">
        <v>46109</v>
      </c>
      <c r="C60" s="38">
        <f ca="1">IFERROR(__X사ludf.DUMMYFUNCTION("""COMPUTED_VALUE"""),1262085)</f>
        <v>1262085</v>
      </c>
    </row>
    <row r="61" spans="1:3">
      <c r="A61" s="36" t="str">
        <f ca="1">IFERROR(__X사ludf.DUMMYFUNCTION("""COMPUTED_VALUE"""),"M사")</f>
        <v>M사</v>
      </c>
      <c r="B61" s="37">
        <v>46110</v>
      </c>
      <c r="C61" s="38">
        <f ca="1">IFERROR(__X사ludf.DUMMYFUNCTION("""COMPUTED_VALUE"""),982755)</f>
        <v>982755</v>
      </c>
    </row>
    <row r="62" spans="1:3">
      <c r="A62" s="36" t="str">
        <f ca="1">IFERROR(__X사ludf.DUMMYFUNCTION("""COMPUTED_VALUE"""),"M사")</f>
        <v>M사</v>
      </c>
      <c r="B62" s="37">
        <v>46111</v>
      </c>
      <c r="C62" s="38">
        <f ca="1">IFERROR(__X사ludf.DUMMYFUNCTION("""COMPUTED_VALUE"""),246991)</f>
        <v>246991</v>
      </c>
    </row>
    <row r="63" spans="1:3">
      <c r="A63" s="36" t="str">
        <f ca="1">IFERROR(__X사ludf.DUMMYFUNCTION("""COMPUTED_VALUE"""),"M사")</f>
        <v>M사</v>
      </c>
      <c r="B63" s="37">
        <v>46112</v>
      </c>
      <c r="C63" s="38">
        <f ca="1">IFERROR(__X사ludf.DUMMYFUNCTION("""COMPUTED_VALUE"""),567343)</f>
        <v>567343</v>
      </c>
    </row>
    <row r="64" spans="1:3">
      <c r="A64" s="36" t="str">
        <f ca="1">IFERROR(__X사ludf.DUMMYFUNCTION("""COMPUTED_VALUE"""),"K사")</f>
        <v>K사</v>
      </c>
      <c r="B64" s="37">
        <v>46082</v>
      </c>
      <c r="C64" s="38">
        <f ca="1">IFERROR(__X사ludf.DUMMYFUNCTION("""COMPUTED_VALUE"""),180742)</f>
        <v>180742</v>
      </c>
    </row>
    <row r="65" spans="1:3">
      <c r="A65" s="36" t="str">
        <f ca="1">IFERROR(__X사ludf.DUMMYFUNCTION("""COMPUTED_VALUE"""),"K사")</f>
        <v>K사</v>
      </c>
      <c r="B65" s="37">
        <v>46083</v>
      </c>
      <c r="C65" s="38">
        <f ca="1">IFERROR(__X사ludf.DUMMYFUNCTION("""COMPUTED_VALUE"""),180259)</f>
        <v>180259</v>
      </c>
    </row>
    <row r="66" spans="1:3">
      <c r="A66" s="36" t="str">
        <f ca="1">IFERROR(__X사ludf.DUMMYFUNCTION("""COMPUTED_VALUE"""),"K사")</f>
        <v>K사</v>
      </c>
      <c r="B66" s="37">
        <v>46084</v>
      </c>
      <c r="C66" s="38">
        <f ca="1">IFERROR(__X사ludf.DUMMYFUNCTION("""COMPUTED_VALUE"""),179997)</f>
        <v>179997</v>
      </c>
    </row>
    <row r="67" spans="1:3">
      <c r="A67" s="36" t="str">
        <f ca="1">IFERROR(__X사ludf.DUMMYFUNCTION("""COMPUTED_VALUE"""),"K사")</f>
        <v>K사</v>
      </c>
      <c r="B67" s="37">
        <v>46085</v>
      </c>
      <c r="C67" s="38">
        <f ca="1">IFERROR(__X사ludf.DUMMYFUNCTION("""COMPUTED_VALUE"""),179967)</f>
        <v>179967</v>
      </c>
    </row>
    <row r="68" spans="1:3">
      <c r="A68" s="36" t="str">
        <f ca="1">IFERROR(__X사ludf.DUMMYFUNCTION("""COMPUTED_VALUE"""),"K사")</f>
        <v>K사</v>
      </c>
      <c r="B68" s="37">
        <v>46086</v>
      </c>
      <c r="C68" s="38">
        <f ca="1">IFERROR(__X사ludf.DUMMYFUNCTION("""COMPUTED_VALUE"""),179924)</f>
        <v>179924</v>
      </c>
    </row>
    <row r="69" spans="1:3">
      <c r="A69" s="36" t="str">
        <f ca="1">IFERROR(__X사ludf.DUMMYFUNCTION("""COMPUTED_VALUE"""),"K사")</f>
        <v>K사</v>
      </c>
      <c r="B69" s="37">
        <v>46087</v>
      </c>
      <c r="C69" s="38">
        <f ca="1">IFERROR(__X사ludf.DUMMYFUNCTION("""COMPUTED_VALUE"""),179921)</f>
        <v>179921</v>
      </c>
    </row>
    <row r="70" spans="1:3">
      <c r="A70" s="36" t="str">
        <f ca="1">IFERROR(__X사ludf.DUMMYFUNCTION("""COMPUTED_VALUE"""),"K사")</f>
        <v>K사</v>
      </c>
      <c r="B70" s="37">
        <v>46088</v>
      </c>
      <c r="C70" s="38">
        <f ca="1">IFERROR(__X사ludf.DUMMYFUNCTION("""COMPUTED_VALUE"""),179885)</f>
        <v>179885</v>
      </c>
    </row>
    <row r="71" spans="1:3">
      <c r="A71" s="36" t="str">
        <f ca="1">IFERROR(__X사ludf.DUMMYFUNCTION("""COMPUTED_VALUE"""),"K사")</f>
        <v>K사</v>
      </c>
      <c r="B71" s="37">
        <v>46089</v>
      </c>
      <c r="C71" s="38">
        <f ca="1">IFERROR(__X사ludf.DUMMYFUNCTION("""COMPUTED_VALUE"""),179548)</f>
        <v>179548</v>
      </c>
    </row>
    <row r="72" spans="1:3">
      <c r="A72" s="36" t="str">
        <f ca="1">IFERROR(__X사ludf.DUMMYFUNCTION("""COMPUTED_VALUE"""),"K사")</f>
        <v>K사</v>
      </c>
      <c r="B72" s="37">
        <v>46090</v>
      </c>
      <c r="C72" s="38">
        <f ca="1">IFERROR(__X사ludf.DUMMYFUNCTION("""COMPUTED_VALUE"""),179451)</f>
        <v>179451</v>
      </c>
    </row>
    <row r="73" spans="1:3">
      <c r="A73" s="36" t="str">
        <f ca="1">IFERROR(__X사ludf.DUMMYFUNCTION("""COMPUTED_VALUE"""),"K사")</f>
        <v>K사</v>
      </c>
      <c r="B73" s="37">
        <v>46091</v>
      </c>
      <c r="C73" s="38">
        <f ca="1">IFERROR(__X사ludf.DUMMYFUNCTION("""COMPUTED_VALUE"""),179343)</f>
        <v>179343</v>
      </c>
    </row>
    <row r="74" spans="1:3">
      <c r="A74" s="36" t="str">
        <f ca="1">IFERROR(__X사ludf.DUMMYFUNCTION("""COMPUTED_VALUE"""),"K사")</f>
        <v>K사</v>
      </c>
      <c r="B74" s="37">
        <v>46092</v>
      </c>
      <c r="C74" s="38">
        <f ca="1">IFERROR(__X사ludf.DUMMYFUNCTION("""COMPUTED_VALUE"""),179252)</f>
        <v>179252</v>
      </c>
    </row>
    <row r="75" spans="1:3">
      <c r="A75" s="36" t="str">
        <f ca="1">IFERROR(__X사ludf.DUMMYFUNCTION("""COMPUTED_VALUE"""),"K사")</f>
        <v>K사</v>
      </c>
      <c r="B75" s="37">
        <v>46093</v>
      </c>
      <c r="C75" s="38">
        <f ca="1">IFERROR(__X사ludf.DUMMYFUNCTION("""COMPUTED_VALUE"""),179152)</f>
        <v>179152</v>
      </c>
    </row>
    <row r="76" spans="1:3">
      <c r="A76" s="36" t="str">
        <f ca="1">IFERROR(__X사ludf.DUMMYFUNCTION("""COMPUTED_VALUE"""),"K사")</f>
        <v>K사</v>
      </c>
      <c r="B76" s="37">
        <v>46094</v>
      </c>
      <c r="C76" s="38">
        <f ca="1">IFERROR(__X사ludf.DUMMYFUNCTION("""COMPUTED_VALUE"""),179125)</f>
        <v>179125</v>
      </c>
    </row>
    <row r="77" spans="1:3">
      <c r="A77" s="36" t="str">
        <f ca="1">IFERROR(__X사ludf.DUMMYFUNCTION("""COMPUTED_VALUE"""),"K사")</f>
        <v>K사</v>
      </c>
      <c r="B77" s="37">
        <v>46095</v>
      </c>
      <c r="C77" s="38">
        <f ca="1">IFERROR(__X사ludf.DUMMYFUNCTION("""COMPUTED_VALUE"""),178962)</f>
        <v>178962</v>
      </c>
    </row>
    <row r="78" spans="1:3">
      <c r="A78" s="36" t="str">
        <f ca="1">IFERROR(__X사ludf.DUMMYFUNCTION("""COMPUTED_VALUE"""),"K사")</f>
        <v>K사</v>
      </c>
      <c r="B78" s="37">
        <v>46096</v>
      </c>
      <c r="C78" s="38">
        <f ca="1">IFERROR(__X사ludf.DUMMYFUNCTION("""COMPUTED_VALUE"""),178778)</f>
        <v>178778</v>
      </c>
    </row>
    <row r="79" spans="1:3">
      <c r="A79" s="36" t="str">
        <f ca="1">IFERROR(__X사ludf.DUMMYFUNCTION("""COMPUTED_VALUE"""),"K사")</f>
        <v>K사</v>
      </c>
      <c r="B79" s="37">
        <v>46097</v>
      </c>
      <c r="C79" s="38">
        <f ca="1">IFERROR(__X사ludf.DUMMYFUNCTION("""COMPUTED_VALUE"""),178731)</f>
        <v>178731</v>
      </c>
    </row>
    <row r="80" spans="1:3">
      <c r="A80" s="36" t="str">
        <f ca="1">IFERROR(__X사ludf.DUMMYFUNCTION("""COMPUTED_VALUE"""),"K사")</f>
        <v>K사</v>
      </c>
      <c r="B80" s="37">
        <v>46098</v>
      </c>
      <c r="C80" s="38">
        <f ca="1">IFERROR(__X사ludf.DUMMYFUNCTION("""COMPUTED_VALUE"""),178610)</f>
        <v>178610</v>
      </c>
    </row>
    <row r="81" spans="1:3">
      <c r="A81" s="36" t="str">
        <f ca="1">IFERROR(__X사ludf.DUMMYFUNCTION("""COMPUTED_VALUE"""),"K사")</f>
        <v>K사</v>
      </c>
      <c r="B81" s="37">
        <v>46099</v>
      </c>
      <c r="C81" s="38">
        <f ca="1">IFERROR(__X사ludf.DUMMYFUNCTION("""COMPUTED_VALUE"""),178458)</f>
        <v>178458</v>
      </c>
    </row>
    <row r="82" spans="1:3">
      <c r="A82" s="36" t="str">
        <f ca="1">IFERROR(__X사ludf.DUMMYFUNCTION("""COMPUTED_VALUE"""),"K사")</f>
        <v>K사</v>
      </c>
      <c r="B82" s="37">
        <v>46100</v>
      </c>
      <c r="C82" s="38">
        <f ca="1">IFERROR(__X사ludf.DUMMYFUNCTION("""COMPUTED_VALUE"""),178240)</f>
        <v>178240</v>
      </c>
    </row>
    <row r="83" spans="1:3">
      <c r="A83" s="36" t="str">
        <f ca="1">IFERROR(__X사ludf.DUMMYFUNCTION("""COMPUTED_VALUE"""),"K사")</f>
        <v>K사</v>
      </c>
      <c r="B83" s="37">
        <v>46101</v>
      </c>
      <c r="C83" s="38">
        <f ca="1">IFERROR(__X사ludf.DUMMYFUNCTION("""COMPUTED_VALUE"""),176783)</f>
        <v>176783</v>
      </c>
    </row>
    <row r="84" spans="1:3">
      <c r="A84" s="36" t="str">
        <f ca="1">IFERROR(__X사ludf.DUMMYFUNCTION("""COMPUTED_VALUE"""),"K사")</f>
        <v>K사</v>
      </c>
      <c r="B84" s="37">
        <v>46102</v>
      </c>
      <c r="C84" s="38">
        <f ca="1">IFERROR(__X사ludf.DUMMYFUNCTION("""COMPUTED_VALUE"""),127916)</f>
        <v>127916</v>
      </c>
    </row>
    <row r="85" spans="1:3">
      <c r="A85" s="36" t="str">
        <f ca="1">IFERROR(__X사ludf.DUMMYFUNCTION("""COMPUTED_VALUE"""),"K사")</f>
        <v>K사</v>
      </c>
      <c r="B85" s="37">
        <v>46103</v>
      </c>
      <c r="C85" s="38">
        <f ca="1">IFERROR(__X사ludf.DUMMYFUNCTION("""COMPUTED_VALUE"""),127453)</f>
        <v>127453</v>
      </c>
    </row>
    <row r="86" spans="1:3">
      <c r="A86" s="36" t="str">
        <f ca="1">IFERROR(__X사ludf.DUMMYFUNCTION("""COMPUTED_VALUE"""),"K사")</f>
        <v>K사</v>
      </c>
      <c r="B86" s="37">
        <v>46104</v>
      </c>
      <c r="C86" s="38">
        <f ca="1">IFERROR(__X사ludf.DUMMYFUNCTION("""COMPUTED_VALUE"""),127255)</f>
        <v>127255</v>
      </c>
    </row>
    <row r="87" spans="1:3">
      <c r="A87" s="36" t="str">
        <f ca="1">IFERROR(__X사ludf.DUMMYFUNCTION("""COMPUTED_VALUE"""),"K사")</f>
        <v>K사</v>
      </c>
      <c r="B87" s="37">
        <v>46105</v>
      </c>
      <c r="C87" s="38">
        <f ca="1">IFERROR(__X사ludf.DUMMYFUNCTION("""COMPUTED_VALUE"""),127238)</f>
        <v>127238</v>
      </c>
    </row>
    <row r="88" spans="1:3">
      <c r="A88" s="36" t="str">
        <f ca="1">IFERROR(__X사ludf.DUMMYFUNCTION("""COMPUTED_VALUE"""),"K사")</f>
        <v>K사</v>
      </c>
      <c r="B88" s="37">
        <v>46106</v>
      </c>
      <c r="C88" s="38">
        <f ca="1">IFERROR(__X사ludf.DUMMYFUNCTION("""COMPUTED_VALUE"""),126733)</f>
        <v>126733</v>
      </c>
    </row>
    <row r="89" spans="1:3">
      <c r="A89" s="36" t="str">
        <f ca="1">IFERROR(__X사ludf.DUMMYFUNCTION("""COMPUTED_VALUE"""),"K사")</f>
        <v>K사</v>
      </c>
      <c r="B89" s="37">
        <v>46107</v>
      </c>
      <c r="C89" s="38">
        <f ca="1">IFERROR(__X사ludf.DUMMYFUNCTION("""COMPUTED_VALUE"""),126592)</f>
        <v>126592</v>
      </c>
    </row>
    <row r="90" spans="1:3">
      <c r="A90" s="36" t="str">
        <f ca="1">IFERROR(__X사ludf.DUMMYFUNCTION("""COMPUTED_VALUE"""),"K사")</f>
        <v>K사</v>
      </c>
      <c r="B90" s="37">
        <v>46108</v>
      </c>
      <c r="C90" s="38">
        <f ca="1">IFERROR(__X사ludf.DUMMYFUNCTION("""COMPUTED_VALUE"""),126524)</f>
        <v>126524</v>
      </c>
    </row>
    <row r="91" spans="1:3">
      <c r="A91" s="36" t="str">
        <f ca="1">IFERROR(__X사ludf.DUMMYFUNCTION("""COMPUTED_VALUE"""),"K사")</f>
        <v>K사</v>
      </c>
      <c r="B91" s="37">
        <v>46109</v>
      </c>
      <c r="C91" s="38">
        <f ca="1">IFERROR(__X사ludf.DUMMYFUNCTION("""COMPUTED_VALUE"""),126514)</f>
        <v>126514</v>
      </c>
    </row>
    <row r="92" spans="1:3">
      <c r="A92" s="36" t="str">
        <f ca="1">IFERROR(__X사ludf.DUMMYFUNCTION("""COMPUTED_VALUE"""),"K사")</f>
        <v>K사</v>
      </c>
      <c r="B92" s="37">
        <v>46110</v>
      </c>
      <c r="C92" s="38">
        <f ca="1">IFERROR(__X사ludf.DUMMYFUNCTION("""COMPUTED_VALUE"""),126446)</f>
        <v>126446</v>
      </c>
    </row>
    <row r="93" spans="1:3">
      <c r="A93" s="36" t="str">
        <f ca="1">IFERROR(__X사ludf.DUMMYFUNCTION("""COMPUTED_VALUE"""),"K사")</f>
        <v>K사</v>
      </c>
      <c r="B93" s="37">
        <v>46111</v>
      </c>
      <c r="C93" s="38">
        <f ca="1">IFERROR(__X사ludf.DUMMYFUNCTION("""COMPUTED_VALUE"""),126306)</f>
        <v>126306</v>
      </c>
    </row>
    <row r="94" spans="1:3">
      <c r="A94" s="36" t="str">
        <f ca="1">IFERROR(__X사ludf.DUMMYFUNCTION("""COMPUTED_VALUE"""),"K사")</f>
        <v>K사</v>
      </c>
      <c r="B94" s="37">
        <v>46112</v>
      </c>
      <c r="C94" s="38">
        <f ca="1">IFERROR(__X사ludf.DUMMYFUNCTION("""COMPUTED_VALUE"""),126239)</f>
        <v>126239</v>
      </c>
    </row>
    <row r="95" spans="1:3">
      <c r="A95" s="36" t="str">
        <f ca="1">IFERROR(__X사ludf.DUMMYFUNCTION("""COMPUTED_VALUE"""),"X사")</f>
        <v>X사</v>
      </c>
      <c r="B95" s="37">
        <v>46082</v>
      </c>
      <c r="C95" s="38">
        <v>33390</v>
      </c>
    </row>
    <row r="96" spans="1:3">
      <c r="A96" s="36" t="str">
        <f ca="1">IFERROR(__X사ludf.DUMMYFUNCTION("""COMPUTED_VALUE"""),"X사")</f>
        <v>X사</v>
      </c>
      <c r="B96" s="37">
        <v>46083</v>
      </c>
      <c r="C96" s="38">
        <v>220020</v>
      </c>
    </row>
    <row r="97" spans="1:3">
      <c r="A97" s="36" t="str">
        <f ca="1">IFERROR(__X사ludf.DUMMYFUNCTION("""COMPUTED_VALUE"""),"X사")</f>
        <v>X사</v>
      </c>
      <c r="B97" s="37">
        <v>46084</v>
      </c>
      <c r="C97" s="38">
        <v>207128</v>
      </c>
    </row>
    <row r="98" spans="1:3">
      <c r="A98" s="36" t="str">
        <f ca="1">IFERROR(__X사ludf.DUMMYFUNCTION("""COMPUTED_VALUE"""),"X사")</f>
        <v>X사</v>
      </c>
      <c r="B98" s="37">
        <v>46085</v>
      </c>
      <c r="C98" s="38">
        <f ca="1">IFERROR(__X사ludf.DUMMYFUNCTION("""COMPUTED_VALUE"""),212471.06)</f>
        <v>212471.06</v>
      </c>
    </row>
    <row r="99" spans="1:3">
      <c r="A99" s="36" t="str">
        <f ca="1">IFERROR(__X사ludf.DUMMYFUNCTION("""COMPUTED_VALUE"""),"X사")</f>
        <v>X사</v>
      </c>
      <c r="B99" s="37">
        <v>46086</v>
      </c>
      <c r="C99" s="38">
        <f ca="1">IFERROR(__X사ludf.DUMMYFUNCTION("""COMPUTED_VALUE"""),206138.86)</f>
        <v>206138.86</v>
      </c>
    </row>
    <row r="100" spans="1:3">
      <c r="A100" s="36" t="str">
        <f ca="1">IFERROR(__X사ludf.DUMMYFUNCTION("""COMPUTED_VALUE"""),"X사")</f>
        <v>X사</v>
      </c>
      <c r="B100" s="37">
        <v>46087</v>
      </c>
      <c r="C100" s="38">
        <f ca="1">IFERROR(__X사ludf.DUMMYFUNCTION("""COMPUTED_VALUE"""),210773.17)</f>
        <v>210773.17</v>
      </c>
    </row>
    <row r="101" spans="1:3">
      <c r="A101" s="36" t="str">
        <f ca="1">IFERROR(__X사ludf.DUMMYFUNCTION("""COMPUTED_VALUE"""),"X사")</f>
        <v>X사</v>
      </c>
      <c r="B101" s="37">
        <v>46088</v>
      </c>
      <c r="C101" s="38">
        <f ca="1">IFERROR(__X사ludf.DUMMYFUNCTION("""COMPUTED_VALUE"""),212658)</f>
        <v>212658</v>
      </c>
    </row>
    <row r="102" spans="1:3">
      <c r="A102" s="36" t="str">
        <f ca="1">IFERROR(__X사ludf.DUMMYFUNCTION("""COMPUTED_VALUE"""),"X사")</f>
        <v>X사</v>
      </c>
      <c r="B102" s="37">
        <v>46089</v>
      </c>
      <c r="C102" s="38">
        <f ca="1">IFERROR(__X사ludf.DUMMYFUNCTION("""COMPUTED_VALUE"""),212067.63)</f>
        <v>212067.63</v>
      </c>
    </row>
    <row r="103" spans="1:3">
      <c r="A103" s="36" t="str">
        <f ca="1">IFERROR(__X사ludf.DUMMYFUNCTION("""COMPUTED_VALUE"""),"X사")</f>
        <v>X사</v>
      </c>
      <c r="B103" s="37">
        <v>46090</v>
      </c>
      <c r="C103" s="38">
        <f ca="1">IFERROR(__X사ludf.DUMMYFUNCTION("""COMPUTED_VALUE"""),206130.11)</f>
        <v>206130.11</v>
      </c>
    </row>
    <row r="104" spans="1:3">
      <c r="A104" s="36" t="str">
        <f ca="1">IFERROR(__X사ludf.DUMMYFUNCTION("""COMPUTED_VALUE"""),"X사")</f>
        <v>X사</v>
      </c>
      <c r="B104" s="37">
        <v>46091</v>
      </c>
      <c r="C104" s="38">
        <f ca="1">IFERROR(__X사ludf.DUMMYFUNCTION("""COMPUTED_VALUE"""),208456.6)</f>
        <v>208456.6</v>
      </c>
    </row>
    <row r="105" spans="1:3">
      <c r="A105" s="36" t="str">
        <f ca="1">IFERROR(__X사ludf.DUMMYFUNCTION("""COMPUTED_VALUE"""),"X사")</f>
        <v>X사</v>
      </c>
      <c r="B105" s="37">
        <v>46092</v>
      </c>
      <c r="C105" s="38">
        <f ca="1">IFERROR(__X사ludf.DUMMYFUNCTION("""COMPUTED_VALUE"""),207814.62)</f>
        <v>207814.62</v>
      </c>
    </row>
    <row r="106" spans="1:3">
      <c r="A106" s="36" t="str">
        <f ca="1">IFERROR(__X사ludf.DUMMYFUNCTION("""COMPUTED_VALUE"""),"X사")</f>
        <v>X사</v>
      </c>
      <c r="B106" s="37">
        <v>46093</v>
      </c>
      <c r="C106" s="38">
        <f ca="1">IFERROR(__X사ludf.DUMMYFUNCTION("""COMPUTED_VALUE"""),208995.26)</f>
        <v>208995.26</v>
      </c>
    </row>
    <row r="107" spans="1:3">
      <c r="A107" s="36" t="str">
        <f ca="1">IFERROR(__X사ludf.DUMMYFUNCTION("""COMPUTED_VALUE"""),"X사")</f>
        <v>X사</v>
      </c>
      <c r="B107" s="37">
        <v>46094</v>
      </c>
      <c r="C107" s="38">
        <f ca="1">IFERROR(__X사ludf.DUMMYFUNCTION("""COMPUTED_VALUE"""),206800.34)</f>
        <v>206800.34</v>
      </c>
    </row>
    <row r="108" spans="1:3">
      <c r="A108" s="36" t="str">
        <f ca="1">IFERROR(__X사ludf.DUMMYFUNCTION("""COMPUTED_VALUE"""),"X사")</f>
        <v>X사</v>
      </c>
      <c r="B108" s="37">
        <v>46095</v>
      </c>
      <c r="C108" s="38">
        <f ca="1">IFERROR(__X사ludf.DUMMYFUNCTION("""COMPUTED_VALUE"""),212658)</f>
        <v>212658</v>
      </c>
    </row>
    <row r="109" spans="1:3">
      <c r="A109" s="36" t="str">
        <f ca="1">IFERROR(__X사ludf.DUMMYFUNCTION("""COMPUTED_VALUE"""),"X사")</f>
        <v>X사</v>
      </c>
      <c r="B109" s="37">
        <v>46096</v>
      </c>
      <c r="C109" s="38">
        <f ca="1">IFERROR(__X사ludf.DUMMYFUNCTION("""COMPUTED_VALUE"""),202307.77)</f>
        <v>202307.77</v>
      </c>
    </row>
    <row r="110" spans="1:3">
      <c r="A110" s="36" t="str">
        <f ca="1">IFERROR(__X사ludf.DUMMYFUNCTION("""COMPUTED_VALUE"""),"X사")</f>
        <v>X사</v>
      </c>
      <c r="B110" s="37">
        <v>46097</v>
      </c>
      <c r="C110" s="38">
        <f ca="1">IFERROR(__X사ludf.DUMMYFUNCTION("""COMPUTED_VALUE"""),180617.14)</f>
        <v>180617.14</v>
      </c>
    </row>
    <row r="111" spans="1:3">
      <c r="A111" s="36" t="str">
        <f ca="1">IFERROR(__X사ludf.DUMMYFUNCTION("""COMPUTED_VALUE"""),"N사")</f>
        <v>N사</v>
      </c>
      <c r="B111" s="37">
        <v>46082</v>
      </c>
      <c r="C111" s="38">
        <f ca="1">IFERROR(__X사ludf.DUMMYFUNCTION("""COMPUTED_VALUE"""),70253)</f>
        <v>70253</v>
      </c>
    </row>
    <row r="112" spans="1:3">
      <c r="A112" s="36" t="str">
        <f ca="1">IFERROR(__X사ludf.DUMMYFUNCTION("""COMPUTED_VALUE"""),"N사")</f>
        <v>N사</v>
      </c>
      <c r="B112" s="37">
        <v>46083</v>
      </c>
      <c r="C112" s="38">
        <f ca="1">IFERROR(__X사ludf.DUMMYFUNCTION("""COMPUTED_VALUE"""),71432)</f>
        <v>71432</v>
      </c>
    </row>
    <row r="113" spans="1:3">
      <c r="A113" s="36" t="str">
        <f ca="1">IFERROR(__X사ludf.DUMMYFUNCTION("""COMPUTED_VALUE"""),"N사")</f>
        <v>N사</v>
      </c>
      <c r="B113" s="37">
        <v>46084</v>
      </c>
      <c r="C113" s="38">
        <f ca="1">IFERROR(__X사ludf.DUMMYFUNCTION("""COMPUTED_VALUE"""),71645)</f>
        <v>71645</v>
      </c>
    </row>
    <row r="114" spans="1:3">
      <c r="A114" s="36" t="str">
        <f ca="1">IFERROR(__X사ludf.DUMMYFUNCTION("""COMPUTED_VALUE"""),"N사")</f>
        <v>N사</v>
      </c>
      <c r="B114" s="37">
        <v>46085</v>
      </c>
      <c r="C114" s="38">
        <f ca="1">IFERROR(__X사ludf.DUMMYFUNCTION("""COMPUTED_VALUE"""),75227)</f>
        <v>75227</v>
      </c>
    </row>
    <row r="115" spans="1:3">
      <c r="A115" s="36" t="str">
        <f ca="1">IFERROR(__X사ludf.DUMMYFUNCTION("""COMPUTED_VALUE"""),"N사")</f>
        <v>N사</v>
      </c>
      <c r="B115" s="37">
        <v>46086</v>
      </c>
      <c r="C115" s="38">
        <f ca="1">IFERROR(__X사ludf.DUMMYFUNCTION("""COMPUTED_VALUE"""),74205)</f>
        <v>74205</v>
      </c>
    </row>
    <row r="116" spans="1:3">
      <c r="A116" s="36" t="str">
        <f ca="1">IFERROR(__X사ludf.DUMMYFUNCTION("""COMPUTED_VALUE"""),"N사")</f>
        <v>N사</v>
      </c>
      <c r="B116" s="37">
        <v>46087</v>
      </c>
      <c r="C116" s="38">
        <f ca="1">IFERROR(__X사ludf.DUMMYFUNCTION("""COMPUTED_VALUE"""),70153)</f>
        <v>70153</v>
      </c>
    </row>
    <row r="117" spans="1:3">
      <c r="A117" s="36" t="str">
        <f ca="1">IFERROR(__X사ludf.DUMMYFUNCTION("""COMPUTED_VALUE"""),"N사")</f>
        <v>N사</v>
      </c>
      <c r="B117" s="37">
        <v>46088</v>
      </c>
      <c r="C117" s="38">
        <f ca="1">IFERROR(__X사ludf.DUMMYFUNCTION("""COMPUTED_VALUE"""),71733)</f>
        <v>71733</v>
      </c>
    </row>
    <row r="118" spans="1:3">
      <c r="A118" s="36" t="str">
        <f ca="1">IFERROR(__X사ludf.DUMMYFUNCTION("""COMPUTED_VALUE"""),"N사")</f>
        <v>N사</v>
      </c>
      <c r="B118" s="37">
        <v>46089</v>
      </c>
      <c r="C118" s="38">
        <f ca="1">IFERROR(__X사ludf.DUMMYFUNCTION("""COMPUTED_VALUE"""),72415)</f>
        <v>72415</v>
      </c>
    </row>
    <row r="119" spans="1:3">
      <c r="A119" s="36" t="str">
        <f ca="1">IFERROR(__X사ludf.DUMMYFUNCTION("""COMPUTED_VALUE"""),"N사")</f>
        <v>N사</v>
      </c>
      <c r="B119" s="37">
        <v>46090</v>
      </c>
      <c r="C119" s="38">
        <f ca="1">IFERROR(__X사ludf.DUMMYFUNCTION("""COMPUTED_VALUE"""),74179)</f>
        <v>74179</v>
      </c>
    </row>
    <row r="120" spans="1:3">
      <c r="A120" s="36" t="str">
        <f ca="1">IFERROR(__X사ludf.DUMMYFUNCTION("""COMPUTED_VALUE"""),"N사")</f>
        <v>N사</v>
      </c>
      <c r="B120" s="37">
        <v>46091</v>
      </c>
      <c r="C120" s="38">
        <f ca="1">IFERROR(__X사ludf.DUMMYFUNCTION("""COMPUTED_VALUE"""),75037)</f>
        <v>75037</v>
      </c>
    </row>
    <row r="121" spans="1:3">
      <c r="A121" s="36" t="str">
        <f ca="1">IFERROR(__X사ludf.DUMMYFUNCTION("""COMPUTED_VALUE"""),"N사")</f>
        <v>N사</v>
      </c>
      <c r="B121" s="37">
        <v>46092</v>
      </c>
      <c r="C121" s="38">
        <f ca="1">IFERROR(__X사ludf.DUMMYFUNCTION("""COMPUTED_VALUE"""),73131)</f>
        <v>73131</v>
      </c>
    </row>
    <row r="122" spans="1:3">
      <c r="A122" s="36" t="str">
        <f ca="1">IFERROR(__X사ludf.DUMMYFUNCTION("""COMPUTED_VALUE"""),"N사")</f>
        <v>N사</v>
      </c>
      <c r="B122" s="37">
        <v>46093</v>
      </c>
      <c r="C122" s="38">
        <f ca="1">IFERROR(__X사ludf.DUMMYFUNCTION("""COMPUTED_VALUE"""),70941)</f>
        <v>70941</v>
      </c>
    </row>
    <row r="123" spans="1:3">
      <c r="A123" s="36" t="str">
        <f ca="1">IFERROR(__X사ludf.DUMMYFUNCTION("""COMPUTED_VALUE"""),"N사")</f>
        <v>N사</v>
      </c>
      <c r="B123" s="37">
        <v>46094</v>
      </c>
      <c r="C123" s="38">
        <f ca="1">IFERROR(__X사ludf.DUMMYFUNCTION("""COMPUTED_VALUE"""),73285)</f>
        <v>73285</v>
      </c>
    </row>
    <row r="124" spans="1:3">
      <c r="A124" s="36" t="str">
        <f ca="1">IFERROR(__X사ludf.DUMMYFUNCTION("""COMPUTED_VALUE"""),"N사")</f>
        <v>N사</v>
      </c>
      <c r="B124" s="37">
        <v>46095</v>
      </c>
      <c r="C124" s="38">
        <f ca="1">IFERROR(__X사ludf.DUMMYFUNCTION("""COMPUTED_VALUE"""),68459)</f>
        <v>68459</v>
      </c>
    </row>
    <row r="125" spans="1:3">
      <c r="A125" s="36" t="str">
        <f ca="1">IFERROR(__X사ludf.DUMMYFUNCTION("""COMPUTED_VALUE"""),"N사")</f>
        <v>N사</v>
      </c>
      <c r="B125" s="37">
        <v>46096</v>
      </c>
      <c r="C125" s="38">
        <f ca="1">IFERROR(__X사ludf.DUMMYFUNCTION("""COMPUTED_VALUE"""),68839)</f>
        <v>68839</v>
      </c>
    </row>
    <row r="126" spans="1:3">
      <c r="A126" s="36" t="str">
        <f ca="1">IFERROR(__X사ludf.DUMMYFUNCTION("""COMPUTED_VALUE"""),"N사")</f>
        <v>N사</v>
      </c>
      <c r="B126" s="37">
        <v>46097</v>
      </c>
      <c r="C126" s="38">
        <f ca="1">IFERROR(__X사ludf.DUMMYFUNCTION("""COMPUTED_VALUE"""),66366)</f>
        <v>66366</v>
      </c>
    </row>
    <row r="127" spans="1:3">
      <c r="A127" s="36" t="str">
        <f ca="1">IFERROR(__X사ludf.DUMMYFUNCTION("""COMPUTED_VALUE"""),"N사")</f>
        <v>N사</v>
      </c>
      <c r="B127" s="37">
        <v>46098</v>
      </c>
      <c r="C127" s="36">
        <f ca="1">IFERROR(__X사ludf.DUMMYFUNCTION("""COMPUTED_VALUE"""),70285)</f>
        <v>70285</v>
      </c>
    </row>
    <row r="128" spans="1:3">
      <c r="A128" s="36" t="str">
        <f ca="1">IFERROR(__X사ludf.DUMMYFUNCTION("""COMPUTED_VALUE"""),"N사")</f>
        <v>N사</v>
      </c>
      <c r="B128" s="37">
        <v>46099</v>
      </c>
      <c r="C128" s="36">
        <f ca="1">IFERROR(__X사ludf.DUMMYFUNCTION("""COMPUTED_VALUE"""),65858)</f>
        <v>65858</v>
      </c>
    </row>
    <row r="129" spans="1:3">
      <c r="A129" s="36" t="str">
        <f ca="1">IFERROR(__X사ludf.DUMMYFUNCTION("""COMPUTED_VALUE"""),"N사")</f>
        <v>N사</v>
      </c>
      <c r="B129" s="37">
        <v>46100</v>
      </c>
      <c r="C129" s="36">
        <f ca="1">IFERROR(__X사ludf.DUMMYFUNCTION("""COMPUTED_VALUE"""),75070)</f>
        <v>75070</v>
      </c>
    </row>
    <row r="130" spans="1:3">
      <c r="A130" s="36" t="str">
        <f ca="1">IFERROR(__X사ludf.DUMMYFUNCTION("""COMPUTED_VALUE"""),"N사")</f>
        <v>N사</v>
      </c>
      <c r="B130" s="37">
        <v>46101</v>
      </c>
      <c r="C130" s="36">
        <f ca="1">IFERROR(__X사ludf.DUMMYFUNCTION("""COMPUTED_VALUE"""),69508)</f>
        <v>69508</v>
      </c>
    </row>
    <row r="131" spans="1:3">
      <c r="A131" s="36" t="str">
        <f ca="1">IFERROR(__X사ludf.DUMMYFUNCTION("""COMPUTED_VALUE"""),"N사")</f>
        <v>N사</v>
      </c>
      <c r="B131" s="37">
        <v>46102</v>
      </c>
      <c r="C131" s="36">
        <f ca="1">IFERROR(__X사ludf.DUMMYFUNCTION("""COMPUTED_VALUE"""),65208)</f>
        <v>65208</v>
      </c>
    </row>
    <row r="132" spans="1:3">
      <c r="A132" s="36" t="str">
        <f ca="1">IFERROR(__X사ludf.DUMMYFUNCTION("""COMPUTED_VALUE"""),"N사")</f>
        <v>N사</v>
      </c>
      <c r="B132" s="37">
        <v>46103</v>
      </c>
      <c r="C132" s="36">
        <f ca="1">IFERROR(__X사ludf.DUMMYFUNCTION("""COMPUTED_VALUE"""),74786)</f>
        <v>74786</v>
      </c>
    </row>
    <row r="133" spans="1:3">
      <c r="A133" s="36" t="str">
        <f ca="1">IFERROR(__X사ludf.DUMMYFUNCTION("""COMPUTED_VALUE"""),"N사")</f>
        <v>N사</v>
      </c>
      <c r="B133" s="37">
        <v>46104</v>
      </c>
      <c r="C133" s="36">
        <f ca="1">IFERROR(__X사ludf.DUMMYFUNCTION("""COMPUTED_VALUE"""),29076)</f>
        <v>29076</v>
      </c>
    </row>
    <row r="134" spans="1:3">
      <c r="B134" s="19"/>
      <c r="C134" s="23"/>
    </row>
    <row r="135" spans="1:3">
      <c r="B135" s="19"/>
      <c r="C135" s="23"/>
    </row>
    <row r="136" spans="1:3">
      <c r="B136" s="19"/>
      <c r="C136" s="23"/>
    </row>
    <row r="137" spans="1:3">
      <c r="B137" s="19"/>
      <c r="C137" s="23"/>
    </row>
    <row r="138" spans="1:3">
      <c r="B138" s="19"/>
      <c r="C138" s="23"/>
    </row>
    <row r="139" spans="1:3">
      <c r="B139" s="19"/>
      <c r="C139" s="23"/>
    </row>
    <row r="140" spans="1:3">
      <c r="B140" s="19"/>
      <c r="C140" s="23"/>
    </row>
    <row r="141" spans="1:3">
      <c r="B141" s="19"/>
      <c r="C141" s="23"/>
    </row>
    <row r="142" spans="1:3">
      <c r="B142" s="19"/>
      <c r="C142" s="23"/>
    </row>
    <row r="143" spans="1:3">
      <c r="B143" s="19"/>
      <c r="C143" s="23"/>
    </row>
    <row r="144" spans="1:3">
      <c r="B144" s="19"/>
      <c r="C144" s="23"/>
    </row>
    <row r="145" spans="2:3">
      <c r="B145" s="19"/>
      <c r="C145" s="23"/>
    </row>
    <row r="146" spans="2:3">
      <c r="B146" s="19"/>
      <c r="C146" s="23"/>
    </row>
    <row r="147" spans="2:3">
      <c r="B147" s="19"/>
      <c r="C147" s="23"/>
    </row>
    <row r="148" spans="2:3">
      <c r="B148" s="19"/>
      <c r="C148" s="23"/>
    </row>
    <row r="149" spans="2:3">
      <c r="B149" s="19"/>
      <c r="C149" s="23"/>
    </row>
    <row r="150" spans="2:3">
      <c r="B150" s="19"/>
      <c r="C150" s="23"/>
    </row>
    <row r="151" spans="2:3">
      <c r="B151" s="19"/>
      <c r="C151" s="23"/>
    </row>
    <row r="152" spans="2:3">
      <c r="B152" s="19"/>
      <c r="C152" s="23"/>
    </row>
    <row r="153" spans="2:3">
      <c r="B153" s="19"/>
      <c r="C153" s="23"/>
    </row>
    <row r="154" spans="2:3">
      <c r="B154" s="19"/>
      <c r="C154" s="23"/>
    </row>
    <row r="155" spans="2:3">
      <c r="B155" s="19"/>
      <c r="C155" s="23"/>
    </row>
    <row r="156" spans="2:3">
      <c r="B156" s="19"/>
      <c r="C156" s="23"/>
    </row>
    <row r="157" spans="2:3">
      <c r="B157" s="19"/>
      <c r="C157" s="23"/>
    </row>
    <row r="158" spans="2:3">
      <c r="B158" s="19"/>
      <c r="C158" s="23"/>
    </row>
    <row r="159" spans="2:3">
      <c r="B159" s="19"/>
      <c r="C159" s="23"/>
    </row>
    <row r="160" spans="2:3">
      <c r="B160" s="19"/>
      <c r="C160" s="23"/>
    </row>
    <row r="161" spans="2:3">
      <c r="B161" s="19"/>
      <c r="C161" s="23"/>
    </row>
    <row r="162" spans="2:3">
      <c r="B162" s="19"/>
      <c r="C162" s="23"/>
    </row>
    <row r="163" spans="2:3">
      <c r="B163" s="19"/>
      <c r="C163" s="23"/>
    </row>
    <row r="164" spans="2:3">
      <c r="B164" s="19"/>
      <c r="C164" s="23"/>
    </row>
    <row r="165" spans="2:3">
      <c r="B165" s="19"/>
      <c r="C165" s="23"/>
    </row>
    <row r="166" spans="2:3">
      <c r="B166" s="19"/>
      <c r="C166" s="23"/>
    </row>
    <row r="167" spans="2:3">
      <c r="B167" s="19"/>
      <c r="C167" s="23"/>
    </row>
    <row r="168" spans="2:3">
      <c r="B168" s="19"/>
      <c r="C168" s="23"/>
    </row>
    <row r="169" spans="2:3">
      <c r="B169" s="19"/>
      <c r="C169" s="23"/>
    </row>
    <row r="170" spans="2:3">
      <c r="B170" s="19"/>
      <c r="C170" s="23"/>
    </row>
    <row r="171" spans="2:3">
      <c r="B171" s="19"/>
      <c r="C171" s="23"/>
    </row>
    <row r="172" spans="2:3">
      <c r="B172" s="19"/>
      <c r="C172" s="23"/>
    </row>
    <row r="173" spans="2:3">
      <c r="B173" s="19"/>
      <c r="C173" s="23"/>
    </row>
    <row r="174" spans="2:3">
      <c r="B174" s="19"/>
      <c r="C174" s="23"/>
    </row>
    <row r="175" spans="2:3">
      <c r="B175" s="19"/>
      <c r="C175" s="23"/>
    </row>
    <row r="176" spans="2:3">
      <c r="B176" s="19"/>
      <c r="C176" s="23"/>
    </row>
    <row r="177" spans="2:3">
      <c r="B177" s="19"/>
      <c r="C177" s="23"/>
    </row>
    <row r="178" spans="2:3">
      <c r="B178" s="19"/>
      <c r="C178" s="23"/>
    </row>
    <row r="179" spans="2:3">
      <c r="B179" s="19"/>
      <c r="C179" s="23"/>
    </row>
    <row r="180" spans="2:3">
      <c r="B180" s="19"/>
      <c r="C180" s="23"/>
    </row>
    <row r="181" spans="2:3">
      <c r="B181" s="19"/>
      <c r="C181" s="23"/>
    </row>
    <row r="182" spans="2:3">
      <c r="B182" s="19"/>
      <c r="C182" s="23"/>
    </row>
    <row r="183" spans="2:3">
      <c r="B183" s="19"/>
      <c r="C183" s="23"/>
    </row>
    <row r="184" spans="2:3">
      <c r="B184" s="19"/>
      <c r="C184" s="23"/>
    </row>
    <row r="185" spans="2:3">
      <c r="B185" s="19"/>
      <c r="C185" s="23"/>
    </row>
    <row r="186" spans="2:3">
      <c r="B186" s="19"/>
      <c r="C186" s="23"/>
    </row>
    <row r="187" spans="2:3">
      <c r="B187" s="19"/>
      <c r="C187" s="23"/>
    </row>
    <row r="188" spans="2:3">
      <c r="B188" s="19"/>
      <c r="C188" s="23"/>
    </row>
    <row r="189" spans="2:3">
      <c r="B189" s="19"/>
      <c r="C189" s="23"/>
    </row>
    <row r="190" spans="2:3">
      <c r="B190" s="19"/>
      <c r="C190" s="23"/>
    </row>
    <row r="191" spans="2:3">
      <c r="B191" s="19"/>
      <c r="C191" s="23"/>
    </row>
    <row r="192" spans="2:3">
      <c r="B192" s="19"/>
      <c r="C192" s="23"/>
    </row>
    <row r="193" spans="2:3">
      <c r="B193" s="19"/>
      <c r="C193" s="23"/>
    </row>
    <row r="194" spans="2:3">
      <c r="B194" s="19"/>
      <c r="C194" s="23"/>
    </row>
    <row r="195" spans="2:3">
      <c r="B195" s="19"/>
      <c r="C195" s="23"/>
    </row>
    <row r="196" spans="2:3">
      <c r="B196" s="19"/>
      <c r="C196" s="23"/>
    </row>
    <row r="197" spans="2:3">
      <c r="B197" s="19"/>
      <c r="C197" s="23"/>
    </row>
    <row r="198" spans="2:3">
      <c r="B198" s="19"/>
      <c r="C198" s="23"/>
    </row>
    <row r="199" spans="2:3">
      <c r="B199" s="19"/>
      <c r="C199" s="23"/>
    </row>
    <row r="200" spans="2:3">
      <c r="B200" s="19"/>
      <c r="C200" s="23"/>
    </row>
    <row r="201" spans="2:3">
      <c r="B201" s="19"/>
      <c r="C201" s="23"/>
    </row>
    <row r="202" spans="2:3">
      <c r="B202" s="19"/>
      <c r="C202" s="23"/>
    </row>
    <row r="203" spans="2:3">
      <c r="B203" s="19"/>
      <c r="C203" s="23"/>
    </row>
    <row r="204" spans="2:3">
      <c r="B204" s="19"/>
      <c r="C204" s="23"/>
    </row>
    <row r="205" spans="2:3">
      <c r="B205" s="19"/>
      <c r="C205" s="23"/>
    </row>
    <row r="206" spans="2:3">
      <c r="B206" s="19"/>
      <c r="C206" s="23"/>
    </row>
    <row r="207" spans="2:3">
      <c r="B207" s="19"/>
      <c r="C207" s="23"/>
    </row>
    <row r="208" spans="2:3">
      <c r="B208" s="19"/>
      <c r="C208" s="23"/>
    </row>
    <row r="209" spans="2:3">
      <c r="B209" s="19"/>
      <c r="C209" s="23"/>
    </row>
    <row r="239" spans="2:3">
      <c r="B239" s="19"/>
      <c r="C239" s="23"/>
    </row>
    <row r="240" spans="2:3">
      <c r="B240" s="19"/>
      <c r="C240" s="23"/>
    </row>
    <row r="241" spans="2:3">
      <c r="B241" s="19"/>
      <c r="C241" s="23"/>
    </row>
    <row r="242" spans="2:3">
      <c r="B242" s="19"/>
      <c r="C242" s="23"/>
    </row>
    <row r="243" spans="2:3">
      <c r="B243" s="19"/>
      <c r="C243" s="23"/>
    </row>
    <row r="244" spans="2:3">
      <c r="B244" s="19"/>
      <c r="C244" s="23"/>
    </row>
    <row r="245" spans="2:3">
      <c r="B245" s="19"/>
      <c r="C245" s="23"/>
    </row>
    <row r="246" spans="2:3">
      <c r="B246" s="19"/>
      <c r="C246" s="23"/>
    </row>
    <row r="247" spans="2:3">
      <c r="B247" s="19"/>
      <c r="C247" s="23"/>
    </row>
    <row r="248" spans="2:3">
      <c r="B248" s="19"/>
      <c r="C248" s="23"/>
    </row>
    <row r="254" spans="2:3">
      <c r="B254" s="19"/>
      <c r="C254" s="23"/>
    </row>
    <row r="255" spans="2:3">
      <c r="B255" s="19"/>
      <c r="C255" s="23"/>
    </row>
    <row r="256" spans="2:3">
      <c r="B256" s="19"/>
      <c r="C256" s="23"/>
    </row>
    <row r="257" spans="2:3">
      <c r="B257" s="19"/>
      <c r="C257" s="23"/>
    </row>
    <row r="258" spans="2:3">
      <c r="B258" s="19"/>
      <c r="C258" s="23"/>
    </row>
    <row r="259" spans="2:3">
      <c r="B259" s="19"/>
      <c r="C259" s="23"/>
    </row>
    <row r="260" spans="2:3">
      <c r="B260" s="19"/>
      <c r="C260" s="23"/>
    </row>
    <row r="261" spans="2:3">
      <c r="B261" s="19"/>
      <c r="C261" s="23"/>
    </row>
    <row r="262" spans="2:3">
      <c r="B262" s="19"/>
      <c r="C262" s="23"/>
    </row>
    <row r="263" spans="2:3">
      <c r="B263" s="19"/>
      <c r="C263" s="23"/>
    </row>
    <row r="264" spans="2:3">
      <c r="B264" s="19"/>
      <c r="C264" s="23"/>
    </row>
    <row r="265" spans="2:3">
      <c r="B265" s="19"/>
      <c r="C265" s="23"/>
    </row>
    <row r="266" spans="2:3">
      <c r="B266" s="19"/>
      <c r="C266" s="23"/>
    </row>
    <row r="267" spans="2:3">
      <c r="B267" s="19"/>
      <c r="C267" s="23"/>
    </row>
    <row r="268" spans="2:3">
      <c r="B268" s="19"/>
      <c r="C268" s="23"/>
    </row>
    <row r="269" spans="2:3">
      <c r="B269" s="19"/>
      <c r="C269" s="23"/>
    </row>
    <row r="270" spans="2:3">
      <c r="B270" s="19"/>
      <c r="C270" s="23"/>
    </row>
    <row r="271" spans="2:3">
      <c r="B271" s="19"/>
      <c r="C271" s="23"/>
    </row>
    <row r="272" spans="2:3">
      <c r="B272" s="19"/>
      <c r="C272" s="23"/>
    </row>
    <row r="273" spans="2:3">
      <c r="B273" s="19"/>
      <c r="C273" s="23"/>
    </row>
    <row r="274" spans="2:3">
      <c r="B274" s="19"/>
      <c r="C274" s="23"/>
    </row>
    <row r="275" spans="2:3">
      <c r="B275" s="19"/>
      <c r="C275" s="23"/>
    </row>
    <row r="276" spans="2:3">
      <c r="B276" s="19"/>
      <c r="C276" s="23"/>
    </row>
    <row r="277" spans="2:3">
      <c r="B277" s="19"/>
      <c r="C277" s="23"/>
    </row>
    <row r="278" spans="2:3">
      <c r="B278" s="19"/>
      <c r="C278" s="23"/>
    </row>
    <row r="279" spans="2:3">
      <c r="B279" s="19"/>
      <c r="C279" s="23"/>
    </row>
    <row r="280" spans="2:3">
      <c r="B280" s="19"/>
      <c r="C280" s="23"/>
    </row>
    <row r="281" spans="2:3">
      <c r="B281" s="19"/>
      <c r="C281" s="23"/>
    </row>
    <row r="282" spans="2:3">
      <c r="B282" s="19"/>
      <c r="C282" s="23"/>
    </row>
    <row r="283" spans="2:3">
      <c r="B283" s="19"/>
      <c r="C283" s="23"/>
    </row>
    <row r="284" spans="2:3">
      <c r="B284" s="19"/>
      <c r="C284" s="23"/>
    </row>
    <row r="285" spans="2:3">
      <c r="B285" s="19"/>
      <c r="C285" s="23"/>
    </row>
    <row r="286" spans="2:3">
      <c r="B286" s="19"/>
      <c r="C286" s="23"/>
    </row>
    <row r="287" spans="2:3">
      <c r="B287" s="19"/>
      <c r="C287" s="23"/>
    </row>
    <row r="288" spans="2:3">
      <c r="B288" s="19"/>
      <c r="C288" s="23"/>
    </row>
    <row r="289" spans="2:3">
      <c r="B289" s="19"/>
      <c r="C289" s="23"/>
    </row>
    <row r="290" spans="2:3">
      <c r="B290" s="19"/>
      <c r="C290" s="23"/>
    </row>
    <row r="291" spans="2:3">
      <c r="B291" s="19"/>
      <c r="C291" s="23"/>
    </row>
    <row r="292" spans="2:3">
      <c r="B292" s="19"/>
      <c r="C292" s="23"/>
    </row>
    <row r="293" spans="2:3">
      <c r="B293" s="19"/>
      <c r="C293" s="23"/>
    </row>
    <row r="294" spans="2:3">
      <c r="B294" s="19"/>
      <c r="C294" s="23"/>
    </row>
    <row r="295" spans="2:3">
      <c r="B295" s="19"/>
      <c r="C295" s="23"/>
    </row>
    <row r="296" spans="2:3">
      <c r="B296" s="19"/>
      <c r="C296" s="23"/>
    </row>
    <row r="297" spans="2:3">
      <c r="B297" s="19"/>
      <c r="C297" s="23"/>
    </row>
    <row r="298" spans="2:3">
      <c r="B298" s="19"/>
      <c r="C298" s="23"/>
    </row>
    <row r="299" spans="2:3">
      <c r="B299" s="19"/>
      <c r="C299" s="23"/>
    </row>
    <row r="300" spans="2:3">
      <c r="B300" s="19"/>
      <c r="C300" s="23"/>
    </row>
    <row r="301" spans="2:3">
      <c r="B301" s="19"/>
      <c r="C301" s="23"/>
    </row>
    <row r="302" spans="2:3">
      <c r="B302" s="19"/>
      <c r="C302" s="23"/>
    </row>
    <row r="303" spans="2:3">
      <c r="B303" s="19"/>
      <c r="C303" s="23"/>
    </row>
    <row r="304" spans="2:3">
      <c r="B304" s="19"/>
      <c r="C304" s="23"/>
    </row>
    <row r="305" spans="2:3">
      <c r="B305" s="19"/>
      <c r="C305" s="23"/>
    </row>
    <row r="306" spans="2:3">
      <c r="B306" s="19"/>
      <c r="C306" s="23"/>
    </row>
    <row r="307" spans="2:3">
      <c r="B307" s="19"/>
      <c r="C307" s="23"/>
    </row>
    <row r="308" spans="2:3">
      <c r="B308" s="19"/>
      <c r="C308" s="23"/>
    </row>
    <row r="309" spans="2:3">
      <c r="B309" s="19"/>
      <c r="C309" s="23"/>
    </row>
    <row r="310" spans="2:3">
      <c r="B310" s="19"/>
      <c r="C310" s="23"/>
    </row>
    <row r="311" spans="2:3">
      <c r="B311" s="19"/>
      <c r="C311" s="23"/>
    </row>
    <row r="312" spans="2:3">
      <c r="B312" s="19"/>
      <c r="C312" s="23"/>
    </row>
    <row r="313" spans="2:3">
      <c r="B313" s="19"/>
      <c r="C313" s="23"/>
    </row>
    <row r="314" spans="2:3">
      <c r="B314" s="19"/>
      <c r="C314" s="23"/>
    </row>
    <row r="315" spans="2:3">
      <c r="B315" s="19"/>
      <c r="C315" s="23"/>
    </row>
    <row r="316" spans="2:3">
      <c r="B316" s="19"/>
      <c r="C316" s="23"/>
    </row>
    <row r="317" spans="2:3">
      <c r="B317" s="19"/>
      <c r="C317" s="23"/>
    </row>
    <row r="318" spans="2:3">
      <c r="B318" s="19"/>
      <c r="C318" s="23"/>
    </row>
    <row r="319" spans="2:3">
      <c r="B319" s="19"/>
      <c r="C319" s="23"/>
    </row>
    <row r="320" spans="2:3">
      <c r="B320" s="19"/>
      <c r="C320" s="23"/>
    </row>
    <row r="321" spans="2:3">
      <c r="B321" s="19"/>
      <c r="C321" s="23"/>
    </row>
    <row r="322" spans="2:3">
      <c r="B322" s="19"/>
      <c r="C322" s="23"/>
    </row>
    <row r="323" spans="2:3">
      <c r="B323" s="19"/>
      <c r="C323" s="23"/>
    </row>
    <row r="324" spans="2:3">
      <c r="B324" s="19"/>
      <c r="C324" s="23"/>
    </row>
    <row r="325" spans="2:3">
      <c r="B325" s="19"/>
      <c r="C325" s="23"/>
    </row>
    <row r="326" spans="2:3">
      <c r="B326" s="19"/>
      <c r="C326" s="23"/>
    </row>
    <row r="327" spans="2:3">
      <c r="B327" s="19"/>
      <c r="C327" s="23"/>
    </row>
    <row r="328" spans="2:3">
      <c r="B328" s="19"/>
      <c r="C328" s="23"/>
    </row>
    <row r="329" spans="2:3">
      <c r="B329" s="19"/>
      <c r="C329" s="23"/>
    </row>
    <row r="330" spans="2:3">
      <c r="B330" s="19"/>
      <c r="C330" s="23"/>
    </row>
    <row r="331" spans="2:3">
      <c r="B331" s="19"/>
      <c r="C331" s="23"/>
    </row>
    <row r="332" spans="2:3">
      <c r="B332" s="19"/>
      <c r="C332" s="23"/>
    </row>
    <row r="333" spans="2:3">
      <c r="B333" s="19"/>
      <c r="C333" s="23"/>
    </row>
    <row r="334" spans="2:3">
      <c r="B334" s="19"/>
      <c r="C334" s="23"/>
    </row>
    <row r="335" spans="2:3">
      <c r="B335" s="19"/>
      <c r="C335" s="23"/>
    </row>
    <row r="336" spans="2:3">
      <c r="B336" s="19"/>
      <c r="C336" s="23"/>
    </row>
    <row r="337" spans="2:3">
      <c r="B337" s="19"/>
      <c r="C337" s="23"/>
    </row>
    <row r="338" spans="2:3">
      <c r="B338" s="19"/>
      <c r="C338" s="23"/>
    </row>
    <row r="339" spans="2:3">
      <c r="B339" s="19"/>
      <c r="C339" s="23"/>
    </row>
    <row r="340" spans="2:3">
      <c r="B340" s="19"/>
      <c r="C340" s="23"/>
    </row>
    <row r="341" spans="2:3">
      <c r="B341" s="19"/>
      <c r="C341" s="23"/>
    </row>
    <row r="342" spans="2:3">
      <c r="B342" s="19"/>
      <c r="C342" s="23"/>
    </row>
    <row r="343" spans="2:3">
      <c r="B343" s="19"/>
      <c r="C343" s="23"/>
    </row>
    <row r="344" spans="2:3">
      <c r="B344" s="19"/>
      <c r="C344" s="23"/>
    </row>
    <row r="345" spans="2:3">
      <c r="B345" s="19"/>
      <c r="C345" s="23"/>
    </row>
    <row r="346" spans="2:3">
      <c r="B346" s="19"/>
      <c r="C346" s="23"/>
    </row>
    <row r="347" spans="2:3">
      <c r="B347" s="19"/>
      <c r="C347" s="23"/>
    </row>
    <row r="348" spans="2:3">
      <c r="B348" s="19"/>
      <c r="C348" s="23"/>
    </row>
    <row r="349" spans="2:3">
      <c r="B349" s="19"/>
      <c r="C349" s="23"/>
    </row>
    <row r="350" spans="2:3">
      <c r="B350" s="19"/>
      <c r="C350" s="23"/>
    </row>
    <row r="351" spans="2:3">
      <c r="B351" s="19"/>
      <c r="C351" s="23"/>
    </row>
    <row r="352" spans="2:3">
      <c r="B352" s="19"/>
      <c r="C352" s="23"/>
    </row>
    <row r="353" spans="2:3">
      <c r="B353" s="19"/>
      <c r="C353" s="23"/>
    </row>
    <row r="354" spans="2:3">
      <c r="B354" s="19"/>
      <c r="C354" s="23"/>
    </row>
    <row r="355" spans="2:3">
      <c r="B355" s="19"/>
      <c r="C355" s="23"/>
    </row>
    <row r="356" spans="2:3">
      <c r="B356" s="19"/>
      <c r="C356" s="23"/>
    </row>
    <row r="357" spans="2:3">
      <c r="B357" s="19"/>
      <c r="C357" s="23"/>
    </row>
    <row r="358" spans="2:3">
      <c r="B358" s="19"/>
      <c r="C358" s="23"/>
    </row>
    <row r="359" spans="2:3">
      <c r="B359" s="19"/>
      <c r="C359" s="23"/>
    </row>
    <row r="360" spans="2:3">
      <c r="B360" s="19"/>
      <c r="C360" s="23"/>
    </row>
    <row r="361" spans="2:3">
      <c r="B361" s="19"/>
      <c r="C361" s="23"/>
    </row>
    <row r="362" spans="2:3">
      <c r="B362" s="19"/>
      <c r="C362" s="23"/>
    </row>
    <row r="363" spans="2:3">
      <c r="B363" s="19"/>
      <c r="C363" s="23"/>
    </row>
    <row r="364" spans="2:3">
      <c r="B364" s="19"/>
      <c r="C364" s="23"/>
    </row>
    <row r="365" spans="2:3">
      <c r="B365" s="19"/>
      <c r="C365" s="23"/>
    </row>
    <row r="366" spans="2:3">
      <c r="B366" s="19"/>
      <c r="C366" s="23"/>
    </row>
    <row r="367" spans="2:3">
      <c r="B367" s="19"/>
      <c r="C367" s="23"/>
    </row>
    <row r="368" spans="2:3">
      <c r="B368" s="19"/>
      <c r="C368" s="23"/>
    </row>
    <row r="369" spans="2:3">
      <c r="B369" s="19"/>
      <c r="C369" s="23"/>
    </row>
    <row r="370" spans="2:3">
      <c r="B370" s="19"/>
      <c r="C370" s="23"/>
    </row>
    <row r="371" spans="2:3">
      <c r="B371" s="19"/>
      <c r="C371" s="23"/>
    </row>
    <row r="372" spans="2:3">
      <c r="B372" s="19"/>
      <c r="C372" s="23"/>
    </row>
    <row r="373" spans="2:3">
      <c r="B373" s="19"/>
      <c r="C373" s="23"/>
    </row>
    <row r="374" spans="2:3">
      <c r="B374" s="19"/>
      <c r="C374" s="23"/>
    </row>
    <row r="375" spans="2:3">
      <c r="B375" s="19"/>
      <c r="C375" s="23"/>
    </row>
    <row r="376" spans="2:3">
      <c r="B376" s="19"/>
      <c r="C376" s="23"/>
    </row>
    <row r="377" spans="2:3">
      <c r="B377" s="19"/>
      <c r="C377" s="23"/>
    </row>
    <row r="378" spans="2:3">
      <c r="B378" s="19"/>
      <c r="C378" s="23"/>
    </row>
    <row r="379" spans="2:3">
      <c r="B379" s="19"/>
      <c r="C379" s="23"/>
    </row>
    <row r="380" spans="2:3">
      <c r="B380" s="19"/>
      <c r="C380" s="23"/>
    </row>
    <row r="381" spans="2:3">
      <c r="B381" s="19"/>
      <c r="C381" s="23"/>
    </row>
    <row r="382" spans="2:3">
      <c r="B382" s="19"/>
      <c r="C382" s="23"/>
    </row>
    <row r="383" spans="2:3">
      <c r="B383" s="19"/>
      <c r="C383" s="23"/>
    </row>
    <row r="384" spans="2:3">
      <c r="B384" s="19"/>
      <c r="C384" s="23"/>
    </row>
    <row r="385" spans="2:3">
      <c r="B385" s="19"/>
      <c r="C385" s="23"/>
    </row>
    <row r="386" spans="2:3">
      <c r="B386" s="19"/>
      <c r="C386" s="23"/>
    </row>
    <row r="387" spans="2:3">
      <c r="B387" s="19"/>
      <c r="C387" s="23"/>
    </row>
    <row r="388" spans="2:3">
      <c r="B388" s="19"/>
      <c r="C388" s="23"/>
    </row>
    <row r="389" spans="2:3">
      <c r="B389" s="19"/>
      <c r="C389" s="23"/>
    </row>
    <row r="390" spans="2:3">
      <c r="B390" s="19"/>
      <c r="C390" s="23"/>
    </row>
    <row r="391" spans="2:3">
      <c r="B391" s="19"/>
      <c r="C391" s="23"/>
    </row>
    <row r="392" spans="2:3">
      <c r="B392" s="19"/>
      <c r="C392" s="23"/>
    </row>
    <row r="393" spans="2:3">
      <c r="B393" s="19"/>
      <c r="C393" s="23"/>
    </row>
    <row r="394" spans="2:3">
      <c r="B394" s="19"/>
      <c r="C394" s="23"/>
    </row>
    <row r="395" spans="2:3">
      <c r="B395" s="19"/>
      <c r="C395" s="23"/>
    </row>
    <row r="396" spans="2:3">
      <c r="B396" s="19"/>
      <c r="C396" s="23"/>
    </row>
    <row r="397" spans="2:3">
      <c r="B397" s="19"/>
      <c r="C397" s="23"/>
    </row>
    <row r="398" spans="2:3">
      <c r="B398" s="19"/>
      <c r="C398" s="23"/>
    </row>
    <row r="399" spans="2:3">
      <c r="B399" s="19"/>
      <c r="C399" s="23"/>
    </row>
    <row r="400" spans="2:3">
      <c r="B400" s="19"/>
      <c r="C400" s="23"/>
    </row>
    <row r="401" spans="2:2">
      <c r="B401" s="19"/>
    </row>
    <row r="402" spans="2:2">
      <c r="B402" s="19"/>
    </row>
    <row r="403" spans="2:2">
      <c r="B403" s="19"/>
    </row>
    <row r="404" spans="2:2">
      <c r="B404" s="19"/>
    </row>
    <row r="405" spans="2:2">
      <c r="B405" s="19"/>
    </row>
    <row r="406" spans="2:2">
      <c r="B406" s="19"/>
    </row>
    <row r="407" spans="2:2">
      <c r="B407" s="19"/>
    </row>
    <row r="408" spans="2:2">
      <c r="B408" s="19"/>
    </row>
    <row r="409" spans="2:2">
      <c r="B409" s="19"/>
    </row>
    <row r="410" spans="2:2">
      <c r="B410" s="19"/>
    </row>
    <row r="411" spans="2:2">
      <c r="B411" s="19"/>
    </row>
    <row r="412" spans="2:2">
      <c r="B412" s="19"/>
    </row>
    <row r="413" spans="2:2">
      <c r="B413" s="19"/>
    </row>
    <row r="414" spans="2:2">
      <c r="B414" s="19"/>
    </row>
    <row r="415" spans="2:2">
      <c r="B415" s="19"/>
    </row>
    <row r="416" spans="2:2">
      <c r="B416" s="19"/>
    </row>
    <row r="417" spans="2:3">
      <c r="B417" s="19"/>
    </row>
    <row r="418" spans="2:3">
      <c r="B418" s="19"/>
    </row>
    <row r="419" spans="2:3">
      <c r="B419" s="19"/>
    </row>
    <row r="420" spans="2:3">
      <c r="B420" s="19"/>
    </row>
    <row r="421" spans="2:3">
      <c r="B421" s="19"/>
    </row>
    <row r="422" spans="2:3">
      <c r="B422" s="19"/>
    </row>
    <row r="423" spans="2:3">
      <c r="B423" s="19"/>
    </row>
    <row r="424" spans="2:3">
      <c r="B424" s="19"/>
    </row>
    <row r="425" spans="2:3">
      <c r="B425" s="19"/>
    </row>
    <row r="426" spans="2:3">
      <c r="B426" s="19"/>
    </row>
    <row r="427" spans="2:3">
      <c r="B427" s="19"/>
    </row>
    <row r="428" spans="2:3">
      <c r="B428" s="19"/>
    </row>
    <row r="429" spans="2:3">
      <c r="B429" s="19"/>
    </row>
    <row r="430" spans="2:3">
      <c r="B430" s="19"/>
    </row>
    <row r="431" spans="2:3">
      <c r="B431" s="19"/>
    </row>
    <row r="432" spans="2:3">
      <c r="B432" s="19"/>
      <c r="C432" s="23"/>
    </row>
    <row r="433" spans="2:3">
      <c r="B433" s="19"/>
      <c r="C433" s="23"/>
    </row>
    <row r="434" spans="2:3">
      <c r="B434" s="19"/>
      <c r="C434" s="23"/>
    </row>
    <row r="435" spans="2:3">
      <c r="B435" s="19"/>
      <c r="C435" s="23"/>
    </row>
    <row r="436" spans="2:3">
      <c r="B436" s="19"/>
      <c r="C436" s="23"/>
    </row>
    <row r="437" spans="2:3">
      <c r="B437" s="19"/>
      <c r="C437" s="23"/>
    </row>
    <row r="438" spans="2:3">
      <c r="B438" s="19"/>
      <c r="C438" s="23"/>
    </row>
    <row r="439" spans="2:3">
      <c r="B439" s="19"/>
      <c r="C439" s="23"/>
    </row>
    <row r="440" spans="2:3">
      <c r="B440" s="19"/>
      <c r="C440" s="23"/>
    </row>
    <row r="441" spans="2:3">
      <c r="B441" s="19"/>
      <c r="C441" s="23"/>
    </row>
    <row r="442" spans="2:3">
      <c r="B442" s="19"/>
      <c r="C442" s="23"/>
    </row>
    <row r="443" spans="2:3">
      <c r="B443" s="19"/>
      <c r="C443" s="23"/>
    </row>
    <row r="444" spans="2:3">
      <c r="B444" s="19"/>
      <c r="C444" s="23"/>
    </row>
    <row r="445" spans="2:3">
      <c r="B445" s="19"/>
      <c r="C445" s="23"/>
    </row>
    <row r="446" spans="2:3">
      <c r="B446" s="19"/>
      <c r="C446" s="23"/>
    </row>
    <row r="447" spans="2:3">
      <c r="B447" s="19"/>
      <c r="C447" s="23"/>
    </row>
    <row r="448" spans="2:3">
      <c r="B448" s="19"/>
      <c r="C448" s="23"/>
    </row>
    <row r="449" spans="2:3">
      <c r="B449" s="19"/>
      <c r="C449" s="23"/>
    </row>
    <row r="450" spans="2:3">
      <c r="B450" s="19"/>
      <c r="C450" s="23"/>
    </row>
    <row r="451" spans="2:3">
      <c r="B451" s="19"/>
      <c r="C451" s="23"/>
    </row>
    <row r="452" spans="2:3">
      <c r="B452" s="19"/>
      <c r="C452" s="23"/>
    </row>
    <row r="453" spans="2:3">
      <c r="B453" s="19"/>
      <c r="C453" s="23"/>
    </row>
    <row r="454" spans="2:3">
      <c r="B454" s="19"/>
      <c r="C454" s="23"/>
    </row>
    <row r="455" spans="2:3">
      <c r="B455" s="19"/>
      <c r="C455" s="23"/>
    </row>
    <row r="456" spans="2:3">
      <c r="B456" s="19"/>
      <c r="C456" s="23"/>
    </row>
    <row r="457" spans="2:3">
      <c r="B457" s="19"/>
      <c r="C457" s="23"/>
    </row>
    <row r="458" spans="2:3">
      <c r="B458" s="19"/>
      <c r="C458" s="23"/>
    </row>
    <row r="459" spans="2:3">
      <c r="B459" s="19"/>
      <c r="C459" s="23"/>
    </row>
    <row r="460" spans="2:3">
      <c r="B460" s="19"/>
      <c r="C460" s="23"/>
    </row>
    <row r="461" spans="2:3">
      <c r="B461" s="19"/>
      <c r="C461" s="23"/>
    </row>
    <row r="462" spans="2:3">
      <c r="B462" s="19"/>
      <c r="C462" s="23"/>
    </row>
    <row r="463" spans="2:3">
      <c r="B463" s="19"/>
      <c r="C463" s="23"/>
    </row>
    <row r="464" spans="2:3">
      <c r="B464" s="19"/>
      <c r="C464" s="23"/>
    </row>
    <row r="465" spans="2:3">
      <c r="B465" s="19"/>
      <c r="C465" s="23"/>
    </row>
    <row r="466" spans="2:3">
      <c r="B466" s="19"/>
      <c r="C466" s="23"/>
    </row>
    <row r="467" spans="2:3">
      <c r="B467" s="19"/>
      <c r="C467" s="23"/>
    </row>
    <row r="468" spans="2:3">
      <c r="B468" s="19"/>
      <c r="C468" s="23"/>
    </row>
    <row r="469" spans="2:3">
      <c r="B469" s="19"/>
      <c r="C469" s="23"/>
    </row>
    <row r="470" spans="2:3">
      <c r="B470" s="19"/>
      <c r="C470" s="23"/>
    </row>
    <row r="471" spans="2:3">
      <c r="B471" s="19"/>
      <c r="C471" s="23"/>
    </row>
    <row r="472" spans="2:3">
      <c r="B472" s="19"/>
      <c r="C472" s="23"/>
    </row>
    <row r="473" spans="2:3">
      <c r="B473" s="19"/>
      <c r="C473" s="23"/>
    </row>
    <row r="474" spans="2:3">
      <c r="B474" s="19"/>
      <c r="C474" s="23"/>
    </row>
    <row r="475" spans="2:3">
      <c r="B475" s="19"/>
      <c r="C475" s="23"/>
    </row>
    <row r="476" spans="2:3">
      <c r="B476" s="19"/>
      <c r="C476" s="23"/>
    </row>
    <row r="477" spans="2:3">
      <c r="B477" s="19"/>
      <c r="C477" s="23"/>
    </row>
    <row r="478" spans="2:3">
      <c r="B478" s="19"/>
      <c r="C478" s="23"/>
    </row>
    <row r="479" spans="2:3">
      <c r="B479" s="19"/>
      <c r="C479" s="23"/>
    </row>
    <row r="480" spans="2:3">
      <c r="B480" s="19"/>
      <c r="C480" s="23"/>
    </row>
    <row r="481" spans="2:3">
      <c r="B481" s="19"/>
      <c r="C481" s="23"/>
    </row>
    <row r="482" spans="2:3">
      <c r="B482" s="19"/>
      <c r="C482" s="23"/>
    </row>
    <row r="483" spans="2:3">
      <c r="B483" s="19"/>
      <c r="C483" s="23"/>
    </row>
    <row r="484" spans="2:3">
      <c r="B484" s="19"/>
      <c r="C484" s="23"/>
    </row>
    <row r="485" spans="2:3">
      <c r="B485" s="19"/>
      <c r="C485" s="23"/>
    </row>
    <row r="486" spans="2:3">
      <c r="B486" s="19"/>
      <c r="C486" s="23"/>
    </row>
    <row r="487" spans="2:3">
      <c r="B487" s="19"/>
      <c r="C487" s="23"/>
    </row>
    <row r="488" spans="2:3">
      <c r="B488" s="19"/>
      <c r="C488" s="23"/>
    </row>
    <row r="489" spans="2:3">
      <c r="B489" s="19"/>
      <c r="C489" s="23"/>
    </row>
    <row r="490" spans="2:3">
      <c r="B490" s="19"/>
      <c r="C490" s="23"/>
    </row>
    <row r="491" spans="2:3">
      <c r="B491" s="19"/>
      <c r="C491" s="23"/>
    </row>
    <row r="492" spans="2:3">
      <c r="B492" s="19"/>
    </row>
    <row r="493" spans="2:3">
      <c r="B493" s="19"/>
    </row>
    <row r="494" spans="2:3">
      <c r="B494" s="19"/>
    </row>
    <row r="495" spans="2:3">
      <c r="B495" s="19"/>
    </row>
    <row r="496" spans="2:3">
      <c r="B496" s="19"/>
    </row>
    <row r="497" spans="2:2">
      <c r="B497" s="19"/>
    </row>
    <row r="498" spans="2:2">
      <c r="B498" s="19"/>
    </row>
    <row r="499" spans="2:2">
      <c r="B499" s="19"/>
    </row>
    <row r="500" spans="2:2">
      <c r="B500" s="19"/>
    </row>
    <row r="501" spans="2:2">
      <c r="B501" s="19"/>
    </row>
    <row r="502" spans="2:2">
      <c r="B502" s="19"/>
    </row>
    <row r="503" spans="2:2">
      <c r="B503" s="19"/>
    </row>
    <row r="504" spans="2:2">
      <c r="B504" s="19"/>
    </row>
    <row r="505" spans="2:2">
      <c r="B505" s="19"/>
    </row>
    <row r="506" spans="2:2">
      <c r="B506" s="19"/>
    </row>
    <row r="507" spans="2:2">
      <c r="B507" s="19"/>
    </row>
    <row r="508" spans="2:2">
      <c r="B508" s="19"/>
    </row>
    <row r="509" spans="2:2">
      <c r="B509" s="19"/>
    </row>
    <row r="510" spans="2:2">
      <c r="B510" s="19"/>
    </row>
    <row r="511" spans="2:2">
      <c r="B511" s="19"/>
    </row>
    <row r="512" spans="2:2">
      <c r="B512" s="19"/>
    </row>
    <row r="513" spans="2:2">
      <c r="B513" s="19"/>
    </row>
    <row r="514" spans="2:2">
      <c r="B514" s="19"/>
    </row>
    <row r="515" spans="2:2">
      <c r="B515" s="19"/>
    </row>
    <row r="516" spans="2:2">
      <c r="B516" s="19"/>
    </row>
    <row r="517" spans="2:2">
      <c r="B517" s="19"/>
    </row>
    <row r="518" spans="2:2">
      <c r="B518" s="19"/>
    </row>
    <row r="519" spans="2:2">
      <c r="B519" s="19"/>
    </row>
    <row r="520" spans="2:2">
      <c r="B520" s="19"/>
    </row>
    <row r="521" spans="2:2">
      <c r="B521" s="19"/>
    </row>
  </sheetData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.75"/>
  <sheetData>
    <row r="1" spans="1:2">
      <c r="A1" s="34" t="str">
        <f ca="1">IFERROR(__xludf.DUMMYFUNCTION("""COMPUTED_VALUE"""),"채널명")</f>
        <v>채널명</v>
      </c>
      <c r="B1" s="34" t="str">
        <f ca="1">IFERROR(__xludf.DUMMYFUNCTION("""COMPUTED_VALUE"""),"부가세 포함여부")</f>
        <v>부가세 포함여부</v>
      </c>
    </row>
    <row r="2" spans="1:2">
      <c r="A2" s="35" t="s">
        <v>18</v>
      </c>
      <c r="B2" s="35" t="str">
        <f ca="1">IFERROR(__xludf.DUMMYFUNCTION("""COMPUTED_VALUE"""),"Y")</f>
        <v>Y</v>
      </c>
    </row>
    <row r="3" spans="1:2">
      <c r="A3" s="35" t="s">
        <v>19</v>
      </c>
      <c r="B3" s="35" t="str">
        <f ca="1">IFERROR(__xludf.DUMMYFUNCTION("""COMPUTED_VALUE"""),"N")</f>
        <v>N</v>
      </c>
    </row>
    <row r="4" spans="1:2">
      <c r="A4" s="35" t="s">
        <v>20</v>
      </c>
      <c r="B4" s="35" t="str">
        <f ca="1">IFERROR(__xludf.DUMMYFUNCTION("""COMPUTED_VALUE"""),"N")</f>
        <v>N</v>
      </c>
    </row>
    <row r="5" spans="1:2">
      <c r="A5" s="35" t="s">
        <v>21</v>
      </c>
      <c r="B5" s="35" t="str">
        <f ca="1">IFERROR(__xludf.DUMMYFUNCTION("""COMPUTED_VALUE"""),"N")</f>
        <v>N</v>
      </c>
    </row>
    <row r="6" spans="1:2">
      <c r="A6" s="35" t="s">
        <v>22</v>
      </c>
      <c r="B6" s="35" t="s">
        <v>23</v>
      </c>
    </row>
    <row r="7" spans="1:2">
      <c r="A7" s="35" t="s">
        <v>24</v>
      </c>
      <c r="B7" s="35" t="str">
        <f ca="1">IFERROR(__xludf.DUMMYFUNCTION("""COMPUTED_VALUE"""),"N")</f>
        <v>N</v>
      </c>
    </row>
    <row r="8" spans="1:2">
      <c r="A8" s="35" t="s">
        <v>25</v>
      </c>
      <c r="B8" s="35" t="str">
        <f ca="1">IFERROR(__xludf.DUMMYFUNCTION("""COMPUTED_VALUE"""),"N")</f>
        <v>N</v>
      </c>
    </row>
    <row r="9" spans="1:2">
      <c r="A9" s="35" t="s">
        <v>26</v>
      </c>
      <c r="B9" s="35" t="str">
        <f ca="1">IFERROR(__xludf.DUMMYFUNCTION("""COMPUTED_VALUE"""),"N")</f>
        <v>N</v>
      </c>
    </row>
    <row r="10" spans="1:2">
      <c r="A10" s="35" t="s">
        <v>27</v>
      </c>
      <c r="B10" s="35" t="str">
        <f ca="1">IFERROR(__xludf.DUMMYFUNCTION("""COMPUTED_VALUE"""),"N")</f>
        <v>N</v>
      </c>
    </row>
    <row r="11" spans="1:2">
      <c r="A11" s="35" t="s">
        <v>28</v>
      </c>
      <c r="B11" s="35" t="str">
        <f ca="1">IFERROR(__xludf.DUMMYFUNCTION("""COMPUTED_VALUE"""),"N")</f>
        <v>N</v>
      </c>
    </row>
  </sheetData>
  <phoneticPr fontId="1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1번 항목</vt:lpstr>
      <vt:lpstr>2번 항목</vt:lpstr>
      <vt:lpstr>Sheet1</vt:lpstr>
      <vt:lpstr>광고집행원가</vt:lpstr>
      <vt:lpstr>상품목록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최준구</dc:creator>
  <cp:keywords/>
  <dc:description/>
  <cp:lastModifiedBy>hipho</cp:lastModifiedBy>
  <cp:revision/>
  <cp:lastPrinted>2025-10-14T05:44:56Z</cp:lastPrinted>
  <dcterms:created xsi:type="dcterms:W3CDTF">2024-09-03T05:33:58Z</dcterms:created>
  <dcterms:modified xsi:type="dcterms:W3CDTF">2026-02-01T23:20:17Z</dcterms:modified>
  <cp:category/>
  <cp:contentStatus/>
</cp:coreProperties>
</file>