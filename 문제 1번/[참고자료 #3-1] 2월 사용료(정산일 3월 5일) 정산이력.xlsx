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pho\OneDrive\바탕 화면\바이브코딩\인턴 과제문제\문제 1번\"/>
    </mc:Choice>
  </mc:AlternateContent>
  <bookViews>
    <workbookView xWindow="0" yWindow="0" windowWidth="9608" windowHeight="4358"/>
  </bookViews>
  <sheets>
    <sheet name="정산대장(2월 사용료)" sheetId="1" r:id="rId1"/>
    <sheet name="구독이력(2월 사용료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1" l="1"/>
  <c r="N5" i="1"/>
</calcChain>
</file>

<file path=xl/sharedStrings.xml><?xml version="1.0" encoding="utf-8"?>
<sst xmlns="http://schemas.openxmlformats.org/spreadsheetml/2006/main" count="36" uniqueCount="36">
  <si>
    <t>정산일자</t>
  </si>
  <si>
    <t>부가서비스 이용기간</t>
  </si>
  <si>
    <t>2026-02-01 ~ 2026-02-28</t>
    <phoneticPr fontId="1" type="noConversion"/>
  </si>
  <si>
    <t>고객코드</t>
  </si>
  <si>
    <t>고객명</t>
  </si>
  <si>
    <t>구독시작일</t>
  </si>
  <si>
    <t>구독종료일</t>
  </si>
  <si>
    <t>확장서비스</t>
  </si>
  <si>
    <t>부가서비스(청구)</t>
  </si>
  <si>
    <t>부가서비스(메시지, 인증)</t>
  </si>
  <si>
    <t>당기 충전액</t>
  </si>
  <si>
    <t>메시지청구금액</t>
  </si>
  <si>
    <t>최종청구금액</t>
  </si>
  <si>
    <t>abc</t>
    <phoneticPr fontId="1" type="noConversion"/>
  </si>
  <si>
    <r>
      <rPr>
        <sz val="9"/>
        <color theme="1"/>
        <rFont val="돋움"/>
        <family val="3"/>
        <charset val="129"/>
      </rPr>
      <t>사단법인</t>
    </r>
    <r>
      <rPr>
        <sz val="9"/>
        <color theme="1"/>
        <rFont val="Nanum Gothic"/>
        <family val="2"/>
      </rPr>
      <t xml:space="preserve"> abc </t>
    </r>
    <r>
      <rPr>
        <sz val="9"/>
        <color theme="1"/>
        <rFont val="돋움"/>
        <family val="3"/>
        <charset val="129"/>
      </rPr>
      <t>재단</t>
    </r>
    <phoneticPr fontId="1" type="noConversion"/>
  </si>
  <si>
    <r>
      <rPr>
        <b/>
        <sz val="9"/>
        <color theme="1"/>
        <rFont val="돋움"/>
        <family val="3"/>
        <charset val="129"/>
      </rPr>
      <t>메시지</t>
    </r>
    <r>
      <rPr>
        <b/>
        <sz val="9"/>
        <color theme="1"/>
        <rFont val="Nanum Gothic"/>
        <family val="2"/>
      </rPr>
      <t xml:space="preserve"> </t>
    </r>
    <r>
      <rPr>
        <b/>
        <sz val="9"/>
        <color theme="1"/>
        <rFont val="돋움"/>
        <family val="3"/>
        <charset val="129"/>
      </rPr>
      <t>충전금</t>
    </r>
    <r>
      <rPr>
        <b/>
        <sz val="9"/>
        <color theme="1"/>
        <rFont val="Nanum Gothic"/>
        <family val="2"/>
      </rPr>
      <t>(</t>
    </r>
    <r>
      <rPr>
        <b/>
        <sz val="9"/>
        <color theme="1"/>
        <rFont val="돋움"/>
        <family val="3"/>
        <charset val="129"/>
      </rPr>
      <t>기초</t>
    </r>
    <r>
      <rPr>
        <b/>
        <sz val="9"/>
        <color theme="1"/>
        <rFont val="Nanum Gothic"/>
        <family val="2"/>
      </rPr>
      <t>)</t>
    </r>
    <phoneticPr fontId="1" type="noConversion"/>
  </si>
  <si>
    <r>
      <rPr>
        <b/>
        <sz val="9"/>
        <color theme="1"/>
        <rFont val="돋움"/>
        <family val="3"/>
        <charset val="129"/>
      </rPr>
      <t>메시지</t>
    </r>
    <r>
      <rPr>
        <b/>
        <sz val="9"/>
        <color theme="1"/>
        <rFont val="Nanum Gothic"/>
        <family val="2"/>
      </rPr>
      <t xml:space="preserve"> </t>
    </r>
    <r>
      <rPr>
        <b/>
        <sz val="9"/>
        <color theme="1"/>
        <rFont val="돋움"/>
        <family val="3"/>
        <charset val="129"/>
      </rPr>
      <t>충전금</t>
    </r>
    <r>
      <rPr>
        <b/>
        <sz val="9"/>
        <color theme="1"/>
        <rFont val="Nanum Gothic"/>
        <family val="2"/>
      </rPr>
      <t>(</t>
    </r>
    <r>
      <rPr>
        <b/>
        <sz val="9"/>
        <color theme="1"/>
        <rFont val="돋움"/>
        <family val="3"/>
        <charset val="129"/>
      </rPr>
      <t>기말</t>
    </r>
    <r>
      <rPr>
        <b/>
        <sz val="9"/>
        <color theme="1"/>
        <rFont val="Nanum Gothic"/>
        <family val="2"/>
      </rPr>
      <t>)</t>
    </r>
    <phoneticPr fontId="1" type="noConversion"/>
  </si>
  <si>
    <t>상품코드</t>
    <phoneticPr fontId="1" type="noConversion"/>
  </si>
  <si>
    <t>상품명</t>
    <phoneticPr fontId="1" type="noConversion"/>
  </si>
  <si>
    <t>구독시작일</t>
    <phoneticPr fontId="1" type="noConversion"/>
  </si>
  <si>
    <t>구독종료일</t>
    <phoneticPr fontId="1" type="noConversion"/>
  </si>
  <si>
    <t>단가</t>
    <phoneticPr fontId="1" type="noConversion"/>
  </si>
  <si>
    <t>수량</t>
    <phoneticPr fontId="1" type="noConversion"/>
  </si>
  <si>
    <t>FR-00001</t>
    <phoneticPr fontId="1" type="noConversion"/>
  </si>
  <si>
    <t>펀드레이징 basic</t>
    <phoneticPr fontId="1" type="noConversion"/>
  </si>
  <si>
    <t>CM-00002</t>
    <phoneticPr fontId="1" type="noConversion"/>
  </si>
  <si>
    <t>커뮤니케이션 standard</t>
    <phoneticPr fontId="1" type="noConversion"/>
  </si>
  <si>
    <t>EX-00001</t>
    <phoneticPr fontId="1" type="noConversion"/>
  </si>
  <si>
    <t>A 기능 추가</t>
    <phoneticPr fontId="1" type="noConversion"/>
  </si>
  <si>
    <t>EX-00009</t>
    <phoneticPr fontId="1" type="noConversion"/>
  </si>
  <si>
    <t>F 기능 추가</t>
    <phoneticPr fontId="1" type="noConversion"/>
  </si>
  <si>
    <t>QT-00001</t>
    <phoneticPr fontId="1" type="noConversion"/>
  </si>
  <si>
    <t>사용자 계정 1개</t>
    <phoneticPr fontId="1" type="noConversion"/>
  </si>
  <si>
    <r>
      <rPr>
        <b/>
        <sz val="9"/>
        <color theme="1"/>
        <rFont val="돋움"/>
        <family val="3"/>
        <charset val="129"/>
      </rPr>
      <t>펀드레이징</t>
    </r>
    <r>
      <rPr>
        <b/>
        <sz val="9"/>
        <color theme="1"/>
        <rFont val="Nanum Gothic"/>
        <family val="2"/>
      </rPr>
      <t xml:space="preserve"> </t>
    </r>
    <r>
      <rPr>
        <b/>
        <sz val="9"/>
        <color theme="1"/>
        <rFont val="돋움"/>
        <family val="3"/>
        <charset val="129"/>
      </rPr>
      <t>에디션</t>
    </r>
    <phoneticPr fontId="1" type="noConversion"/>
  </si>
  <si>
    <t>커뮤니케이션 에디션</t>
    <phoneticPr fontId="1" type="noConversion"/>
  </si>
  <si>
    <t>확장사용량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</si>
</sst>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Nanum Gothic"/>
      <family val="2"/>
    </font>
    <font>
      <sz val="9"/>
      <color theme="1"/>
      <name val="Nanum Gothic"/>
      <family val="2"/>
    </font>
    <font>
      <b/>
      <sz val="9"/>
      <color rgb="FF000000"/>
      <name val="Nanum Gothic"/>
      <family val="2"/>
    </font>
    <font>
      <sz val="10"/>
      <color theme="1"/>
      <name val="Arial"/>
      <family val="2"/>
    </font>
    <font>
      <sz val="9"/>
      <color theme="1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color rgb="FF00000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2" borderId="0" xfId="0" applyFont="1" applyFill="1" applyAlignment="1">
      <alignment vertical="center" wrapText="1"/>
    </xf>
    <xf numFmtId="14" fontId="3" fillId="3" borderId="0" xfId="0" applyNumberFormat="1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5" borderId="0" xfId="0" applyFont="1" applyFill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horizontal="right" vertical="center" wrapText="1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8" fillId="5" borderId="0" xfId="0" applyFont="1" applyFill="1" applyAlignment="1">
      <alignment vertical="center" wrapText="1"/>
    </xf>
    <xf numFmtId="14" fontId="0" fillId="0" borderId="0" xfId="0" applyNumberFormat="1">
      <alignment vertical="center"/>
    </xf>
    <xf numFmtId="0" fontId="7" fillId="2" borderId="0" xfId="0" applyFont="1" applyFill="1" applyAlignment="1">
      <alignment vertical="center" wrapText="1"/>
    </xf>
    <xf numFmtId="3" fontId="3" fillId="3" borderId="0" xfId="0" applyNumberFormat="1" applyFont="1" applyFill="1" applyAlignment="1">
      <alignment horizontal="right" vertical="center" wrapText="1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topLeftCell="K1" workbookViewId="0">
      <selection activeCell="N5" sqref="N5"/>
    </sheetView>
  </sheetViews>
  <sheetFormatPr defaultRowHeight="16.899999999999999"/>
  <cols>
    <col min="1" max="1" width="15.8125" customWidth="1"/>
    <col min="2" max="2" width="22.6875" customWidth="1"/>
    <col min="5" max="5" width="18.9375" customWidth="1"/>
    <col min="6" max="6" width="15.4375" customWidth="1"/>
    <col min="9" max="9" width="13.375" customWidth="1"/>
    <col min="10" max="10" width="19.1875" customWidth="1"/>
    <col min="11" max="11" width="16.8125" customWidth="1"/>
    <col min="12" max="12" width="14.5" customWidth="1"/>
    <col min="14" max="14" width="15.1875" customWidth="1"/>
    <col min="15" max="15" width="13.8125" customWidth="1"/>
  </cols>
  <sheetData>
    <row r="1" spans="1:15">
      <c r="A1" s="1" t="s">
        <v>0</v>
      </c>
      <c r="B1" s="1" t="s">
        <v>1</v>
      </c>
    </row>
    <row r="2" spans="1:15">
      <c r="A2" s="2">
        <v>46086</v>
      </c>
      <c r="B2" s="3" t="s">
        <v>2</v>
      </c>
    </row>
    <row r="4" spans="1:15" ht="34.9">
      <c r="A4" s="4" t="s">
        <v>3</v>
      </c>
      <c r="B4" s="4" t="s">
        <v>4</v>
      </c>
      <c r="C4" s="6" t="s">
        <v>5</v>
      </c>
      <c r="D4" s="6" t="s">
        <v>6</v>
      </c>
      <c r="E4" s="1" t="s">
        <v>33</v>
      </c>
      <c r="F4" s="14" t="s">
        <v>34</v>
      </c>
      <c r="G4" s="1" t="s">
        <v>7</v>
      </c>
      <c r="H4" s="14" t="s">
        <v>35</v>
      </c>
      <c r="I4" s="1" t="s">
        <v>8</v>
      </c>
      <c r="J4" s="1" t="s">
        <v>9</v>
      </c>
      <c r="K4" s="9" t="s">
        <v>15</v>
      </c>
      <c r="L4" s="10" t="s">
        <v>10</v>
      </c>
      <c r="M4" s="4" t="s">
        <v>11</v>
      </c>
      <c r="N4" s="4" t="s">
        <v>16</v>
      </c>
      <c r="O4" s="4" t="s">
        <v>12</v>
      </c>
    </row>
    <row r="5" spans="1:15">
      <c r="A5" s="5" t="s">
        <v>13</v>
      </c>
      <c r="B5" s="3" t="s">
        <v>14</v>
      </c>
      <c r="C5" s="7">
        <v>46054</v>
      </c>
      <c r="D5" s="7">
        <v>46081</v>
      </c>
      <c r="E5" s="8">
        <v>33000</v>
      </c>
      <c r="F5" s="8">
        <v>82500</v>
      </c>
      <c r="G5" s="8">
        <v>495000</v>
      </c>
      <c r="H5" s="8">
        <v>33000</v>
      </c>
      <c r="I5" s="8">
        <v>210000</v>
      </c>
      <c r="J5" s="8">
        <v>7500000</v>
      </c>
      <c r="K5" s="8">
        <v>10000000</v>
      </c>
      <c r="L5" s="11"/>
      <c r="M5" s="8">
        <v>0</v>
      </c>
      <c r="N5" s="15">
        <f>K5-J5</f>
        <v>2500000</v>
      </c>
      <c r="O5" s="8">
        <f>SUM(E5:I5,M5)</f>
        <v>853500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E2" sqref="E2:E6"/>
    </sheetView>
  </sheetViews>
  <sheetFormatPr defaultRowHeight="16.899999999999999"/>
  <cols>
    <col min="2" max="2" width="19.9375" customWidth="1"/>
    <col min="3" max="3" width="10.5625" bestFit="1" customWidth="1"/>
    <col min="4" max="4" width="13.1875" customWidth="1"/>
  </cols>
  <sheetData>
    <row r="1" spans="1:6">
      <c r="A1" s="12" t="s">
        <v>17</v>
      </c>
      <c r="B1" s="12" t="s">
        <v>18</v>
      </c>
      <c r="C1" s="12" t="s">
        <v>19</v>
      </c>
      <c r="D1" s="12" t="s">
        <v>20</v>
      </c>
      <c r="E1" s="12" t="s">
        <v>21</v>
      </c>
      <c r="F1" s="12" t="s">
        <v>22</v>
      </c>
    </row>
    <row r="2" spans="1:6">
      <c r="A2" t="s">
        <v>23</v>
      </c>
      <c r="B2" t="s">
        <v>24</v>
      </c>
      <c r="C2" s="13">
        <v>46054</v>
      </c>
      <c r="D2" s="13">
        <v>46081</v>
      </c>
      <c r="E2" s="16">
        <v>33000</v>
      </c>
      <c r="F2">
        <v>1</v>
      </c>
    </row>
    <row r="3" spans="1:6">
      <c r="A3" t="s">
        <v>25</v>
      </c>
      <c r="B3" t="s">
        <v>26</v>
      </c>
      <c r="C3" s="13">
        <v>46054</v>
      </c>
      <c r="D3" s="13">
        <v>46081</v>
      </c>
      <c r="E3" s="16">
        <v>82500</v>
      </c>
      <c r="F3">
        <v>1</v>
      </c>
    </row>
    <row r="4" spans="1:6">
      <c r="A4" t="s">
        <v>27</v>
      </c>
      <c r="B4" t="s">
        <v>28</v>
      </c>
      <c r="C4" s="13">
        <v>46054</v>
      </c>
      <c r="D4" s="13">
        <v>46081</v>
      </c>
      <c r="E4" s="16">
        <v>55000</v>
      </c>
      <c r="F4">
        <v>1</v>
      </c>
    </row>
    <row r="5" spans="1:6">
      <c r="A5" t="s">
        <v>29</v>
      </c>
      <c r="B5" t="s">
        <v>30</v>
      </c>
      <c r="C5" s="13">
        <v>46054</v>
      </c>
      <c r="D5" s="13">
        <v>46081</v>
      </c>
      <c r="E5" s="16">
        <v>440000</v>
      </c>
      <c r="F5">
        <v>1</v>
      </c>
    </row>
    <row r="6" spans="1:6">
      <c r="A6" t="s">
        <v>31</v>
      </c>
      <c r="B6" t="s">
        <v>32</v>
      </c>
      <c r="C6" s="13">
        <v>46054</v>
      </c>
      <c r="D6" s="13">
        <v>46081</v>
      </c>
      <c r="E6" s="16">
        <v>33000</v>
      </c>
      <c r="F6">
        <v>1</v>
      </c>
    </row>
    <row r="7" spans="1:6">
      <c r="C7" s="13"/>
      <c r="D7" s="1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정산대장(2월 사용료)</vt:lpstr>
      <vt:lpstr>구독이력(2월 사용료)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hipho</dc:creator>
  <cp:lastModifiedBy>hipho</cp:lastModifiedBy>
  <dcterms:created xsi:type="dcterms:W3CDTF">2026-01-31T13:14:18Z</dcterms:created>
  <dcterms:modified xsi:type="dcterms:W3CDTF">2026-02-01T04:55:24Z</dcterms:modified>
</cp:coreProperties>
</file>